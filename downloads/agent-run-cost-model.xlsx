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Your model" sheetId="2" state="visible" r:id="rId2"/>
    <sheet xmlns:r="http://schemas.openxmlformats.org/officeDocument/2006/relationships" name="Reference example" sheetId="3" state="visible" r:id="rId3"/>
  </sheets>
  <definedNames>
    <definedName name="_xlnm.Print_Titles" localSheetId="1">'Your model'!$7:$8</definedName>
    <definedName name="_xlnm.Print_Titles" localSheetId="2">'Reference example'!$14:$15</definedName>
  </definedNames>
  <calcPr calcId="124519" fullCalcOnLoad="1"/>
</workbook>
</file>

<file path=xl/styles.xml><?xml version="1.0" encoding="utf-8"?>
<styleSheet xmlns="http://schemas.openxmlformats.org/spreadsheetml/2006/main">
  <numFmts count="1">
    <numFmt numFmtId="164" formatCode="0.0"/>
  </numFmts>
  <fonts count="14">
    <font>
      <name val="Calibri"/>
      <family val="2"/>
      <color theme="1"/>
      <sz val="11"/>
      <scheme val="minor"/>
    </font>
    <font>
      <name val="Source Serif 4"/>
      <color rgb="00183D32"/>
      <sz val="22"/>
    </font>
    <font>
      <name val="Figtree"/>
      <color rgb="00526259"/>
      <sz val="9"/>
    </font>
    <font>
      <name val="Figtree"/>
      <b val="1"/>
      <color rgb="00183D32"/>
      <sz val="12"/>
    </font>
    <font>
      <name val="Figtree"/>
      <color rgb="00172E26"/>
      <sz val="10"/>
    </font>
    <font>
      <name val="Figtree"/>
      <b val="1"/>
      <color rgb="00172E26"/>
      <sz val="10"/>
    </font>
    <font>
      <name val="Figtree"/>
      <b val="1"/>
      <color rgb="00526259"/>
      <sz val="10"/>
    </font>
    <font>
      <name val="Figtree"/>
      <color rgb="00526259"/>
      <sz val="10"/>
    </font>
    <font>
      <name val="Source Serif 4"/>
      <b val="1"/>
      <color rgb="00F5F0E6"/>
      <sz val="12"/>
    </font>
    <font>
      <name val="Figtree"/>
      <color rgb="00F5F0E6"/>
      <sz val="10"/>
    </font>
    <font>
      <name val="Figtree"/>
      <b val="1"/>
      <color rgb="00F5F0E6"/>
      <sz val="10"/>
      <u val="single"/>
    </font>
    <font>
      <name val="Figtree"/>
      <color rgb="00526259"/>
      <sz val="8"/>
    </font>
    <font>
      <name val="Figtree"/>
      <b val="1"/>
      <color rgb="00183D32"/>
      <sz val="11"/>
    </font>
    <font>
      <name val="Figtree"/>
      <b val="1"/>
      <color rgb="00172E26"/>
      <sz val="12"/>
    </font>
  </fonts>
  <fills count="7">
    <fill>
      <patternFill/>
    </fill>
    <fill>
      <patternFill patternType="gray125"/>
    </fill>
    <fill>
      <patternFill patternType="solid">
        <fgColor rgb="00F4E9CE"/>
        <bgColor rgb="00F4E9CE"/>
      </patternFill>
    </fill>
    <fill>
      <patternFill patternType="solid">
        <fgColor rgb="00E5EBE1"/>
        <bgColor rgb="00E5EBE1"/>
      </patternFill>
    </fill>
    <fill>
      <patternFill patternType="solid">
        <fgColor rgb="00183D32"/>
        <bgColor rgb="00183D32"/>
      </patternFill>
    </fill>
    <fill>
      <patternFill patternType="solid">
        <fgColor rgb="00F5F0E6"/>
        <bgColor rgb="00F5F0E6"/>
      </patternFill>
    </fill>
    <fill>
      <patternFill patternType="solid">
        <fgColor rgb="00FBF8F2"/>
        <bgColor rgb="00FBF8F2"/>
      </patternFill>
    </fill>
  </fills>
  <borders count="3">
    <border>
      <left/>
      <right/>
      <top/>
      <bottom/>
      <diagonal/>
    </border>
    <border>
      <bottom style="medium">
        <color rgb="00B58A46"/>
      </bottom>
    </border>
    <border>
      <left style="thin">
        <color rgb="00CBD1C8"/>
      </left>
      <right style="thin">
        <color rgb="00CBD1C8"/>
      </right>
      <top style="thin">
        <color rgb="00CBD1C8"/>
      </top>
      <bottom style="thin">
        <color rgb="00CBD1C8"/>
      </bottom>
    </border>
  </borders>
  <cellStyleXfs count="1">
    <xf numFmtId="0" fontId="0" fillId="0" borderId="0"/>
  </cellStyleXfs>
  <cellXfs count="31">
    <xf numFmtId="0" fontId="0" fillId="0" borderId="0" pivotButton="0" quotePrefix="0" xfId="0"/>
    <xf numFmtId="0" fontId="0" fillId="5" borderId="0" pivotButton="0" quotePrefix="0" xfId="0"/>
    <xf numFmtId="0" fontId="1" fillId="5" borderId="1" applyAlignment="1" pivotButton="0" quotePrefix="0" xfId="0">
      <alignment vertical="bottom"/>
    </xf>
    <xf numFmtId="0" fontId="2" fillId="5" borderId="0" pivotButton="0" quotePrefix="0" xfId="0"/>
    <xf numFmtId="0" fontId="3" fillId="5" borderId="0" pivotButton="0" quotePrefix="0" xfId="0"/>
    <xf numFmtId="0" fontId="4" fillId="5" borderId="0" applyAlignment="1" pivotButton="0" quotePrefix="0" xfId="0">
      <alignment vertical="top" wrapText="1"/>
    </xf>
    <xf numFmtId="0" fontId="5" fillId="2" borderId="2" pivotButton="0" quotePrefix="0" xfId="0"/>
    <xf numFmtId="0" fontId="6" fillId="3" borderId="0" pivotButton="0" quotePrefix="0" xfId="0"/>
    <xf numFmtId="0" fontId="7" fillId="5" borderId="0" applyAlignment="1" pivotButton="0" quotePrefix="0" xfId="0">
      <alignment vertical="top" wrapText="1"/>
    </xf>
    <xf numFmtId="0" fontId="8" fillId="4" borderId="0" pivotButton="0" quotePrefix="0" xfId="0"/>
    <xf numFmtId="0" fontId="9" fillId="4" borderId="0" applyAlignment="1" pivotButton="0" quotePrefix="0" xfId="0">
      <alignment vertical="top" wrapText="1"/>
    </xf>
    <xf numFmtId="0" fontId="10" fillId="4" borderId="0" pivotButton="0" quotePrefix="0" xfId="0"/>
    <xf numFmtId="0" fontId="2" fillId="5" borderId="0" applyAlignment="1" pivotButton="0" quotePrefix="0" xfId="0">
      <alignment vertical="top" wrapText="1"/>
    </xf>
    <xf numFmtId="0" fontId="0" fillId="5" borderId="1" pivotButton="0" quotePrefix="0" xfId="0"/>
    <xf numFmtId="0" fontId="6" fillId="5" borderId="0" applyAlignment="1" pivotButton="0" quotePrefix="0" xfId="0">
      <alignment horizontal="left"/>
    </xf>
    <xf numFmtId="0" fontId="6" fillId="5" borderId="0" applyAlignment="1" pivotButton="0" quotePrefix="0" xfId="0">
      <alignment horizontal="right"/>
    </xf>
    <xf numFmtId="0" fontId="11" fillId="5" borderId="0" applyAlignment="1" pivotButton="0" quotePrefix="0" xfId="0">
      <alignment horizontal="right" vertical="top" wrapText="1"/>
    </xf>
    <xf numFmtId="0" fontId="12" fillId="6" borderId="0" pivotButton="0" quotePrefix="0" xfId="0"/>
    <xf numFmtId="0" fontId="0" fillId="6" borderId="0" pivotButton="0" quotePrefix="0" xfId="0"/>
    <xf numFmtId="0" fontId="7" fillId="6" borderId="0" pivotButton="0" quotePrefix="0" xfId="0"/>
    <xf numFmtId="0" fontId="5" fillId="2" borderId="2" applyAlignment="1" pivotButton="0" quotePrefix="0" xfId="0">
      <alignment horizontal="right"/>
    </xf>
    <xf numFmtId="0" fontId="6" fillId="3" borderId="0" applyAlignment="1" pivotButton="0" quotePrefix="0" xfId="0">
      <alignment vertical="top" wrapText="1"/>
    </xf>
    <xf numFmtId="0" fontId="2" fillId="3" borderId="0" pivotButton="0" quotePrefix="0" xfId="0"/>
    <xf numFmtId="0" fontId="2" fillId="3" borderId="0" applyAlignment="1" pivotButton="0" quotePrefix="0" xfId="0">
      <alignment vertical="top" wrapText="1"/>
    </xf>
    <xf numFmtId="3" fontId="5" fillId="3" borderId="0" applyAlignment="1" pivotButton="0" quotePrefix="0" xfId="0">
      <alignment horizontal="right"/>
    </xf>
    <xf numFmtId="0" fontId="0" fillId="3" borderId="0" pivotButton="0" quotePrefix="0" xfId="0"/>
    <xf numFmtId="0" fontId="5" fillId="5" borderId="0" applyAlignment="1" pivotButton="0" quotePrefix="0" xfId="0">
      <alignment vertical="top" wrapText="1"/>
    </xf>
    <xf numFmtId="4" fontId="5" fillId="3" borderId="0" applyAlignment="1" pivotButton="0" quotePrefix="0" xfId="0">
      <alignment horizontal="right"/>
    </xf>
    <xf numFmtId="164" fontId="5" fillId="3" borderId="0" applyAlignment="1" pivotButton="0" quotePrefix="0" xfId="0">
      <alignment horizontal="right"/>
    </xf>
    <xf numFmtId="49" fontId="5" fillId="3" borderId="0" applyAlignment="1" pivotButton="0" quotePrefix="0" xfId="0">
      <alignment horizontal="left"/>
    </xf>
    <xf numFmtId="0" fontId="13" fillId="5"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_rels/drawing3.xml.rels><Relationships xmlns="http://schemas.openxmlformats.org/package/2006/relationships"><Relationship Type="http://schemas.openxmlformats.org/officeDocument/2006/relationships/image" Target="/xl/media/image3.png" Id="rId1"/></Relationships>
</file>

<file path=xl/drawings/drawing1.xml><?xml version="1.0" encoding="utf-8"?>
<wsDr xmlns="http://schemas.openxmlformats.org/drawingml/2006/spreadsheetDrawing">
  <oneCellAnchor>
    <from>
      <col>0</col>
      <colOff>0</colOff>
      <row>0</row>
      <rowOff>0</rowOff>
    </from>
    <ext cx="2000250" cy="3810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0</col>
      <colOff>0</colOff>
      <row>0</row>
      <rowOff>0</rowOff>
    </from>
    <ext cx="2000250" cy="3810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3.xml><?xml version="1.0" encoding="utf-8"?>
<wsDr xmlns="http://schemas.openxmlformats.org/drawingml/2006/spreadsheetDrawing">
  <oneCellAnchor>
    <from>
      <col>0</col>
      <colOff>0</colOff>
      <row>0</row>
      <rowOff>0</rowOff>
    </from>
    <ext cx="2000250" cy="3810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learning.thelivingcraft.ai/#apply" TargetMode="External" Id="rId1"/><Relationship Type="http://schemas.openxmlformats.org/officeDocument/2006/relationships/drawing" Target="/xl/drawings/drawing1.xml" Id="rId2"/></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sheet1.xml><?xml version="1.0" encoding="utf-8"?>
<worksheet xmlns="http://schemas.openxmlformats.org/spreadsheetml/2006/main">
  <sheetPr>
    <tabColor rgb="00183D32"/>
    <outlinePr summaryBelow="1" summaryRight="1"/>
    <pageSetUpPr fitToPage="1"/>
  </sheetPr>
  <dimension ref="A1:A64"/>
  <sheetViews>
    <sheetView showGridLines="0" workbookViewId="0">
      <selection activeCell="A1" sqref="A1"/>
    </sheetView>
  </sheetViews>
  <sheetFormatPr baseColWidth="8" defaultRowHeight="15"/>
  <cols>
    <col width="110" customWidth="1" min="1" max="1"/>
  </cols>
  <sheetData>
    <row r="1" ht="34" customHeight="1">
      <c r="A1" s="1" t="n"/>
    </row>
    <row r="2" ht="34" customHeight="1">
      <c r="A2" s="2" t="inlineStr">
        <is>
          <t>The Run-Cost Model Tool</t>
        </is>
      </c>
    </row>
    <row r="3" ht="18" customHeight="1">
      <c r="A3" s="3" t="inlineStr">
        <is>
          <t>Four ways to do the same job, costed over one period  ·  Built by Sunil Mathew, co-authored with Claude</t>
        </is>
      </c>
    </row>
    <row r="4">
      <c r="A4" s="1" t="n"/>
    </row>
    <row r="5">
      <c r="A5" s="4" t="inlineStr">
        <is>
          <t>What this is</t>
        </is>
      </c>
    </row>
    <row r="6" ht="30" customHeight="1">
      <c r="A6" s="5" t="inlineStr">
        <is>
          <t>You are asked to put a number on an AI agent proposal. This tool gives you that number, and it includes the costs most business cases leave out.</t>
        </is>
      </c>
    </row>
    <row r="7" ht="45" customHeight="1">
      <c r="A7" s="5" t="inlineStr">
        <is>
          <t>Four options are compared side by side over one period: a rules workflow as first written, the same workflow rebuilt on the decision rules the agent build forced the team to write down, a model that drafts while a person approves, and a full agent with tools.</t>
        </is>
      </c>
    </row>
    <row r="8" ht="30" customHeight="1">
      <c r="A8" s="5" t="inlineStr">
        <is>
          <t>Build cost is kept apart from run cost. Quality sits beside cost, so the number you argue about is cost per acceptable outcome, not cost per case.</t>
        </is>
      </c>
    </row>
    <row r="9" ht="30" customHeight="1">
      <c r="A9" s="5" t="inlineStr">
        <is>
          <t>The result names the option with the lowest cost per acceptable outcome, says whether each option ever pays back its build, and lists the assumptions to check before you trust it.</t>
        </is>
      </c>
    </row>
    <row r="10">
      <c r="A10" s="1" t="n"/>
    </row>
    <row r="11">
      <c r="A11" s="4" t="inlineStr">
        <is>
          <t>How to fill it in</t>
        </is>
      </c>
    </row>
    <row r="12" ht="30" customHeight="1">
      <c r="A12" s="5" t="inlineStr">
        <is>
          <t>1. Open the sheet called Your model. Fill the sand-coloured cells. Column C says what to type and where the number comes from.</t>
        </is>
      </c>
    </row>
    <row r="13" ht="30" customHeight="1">
      <c r="A13" s="5" t="inlineStr">
        <is>
          <t>2. Sections 1 and 2 take one value each. Sections 3 to 7 take one value per option: Rules, Rules v2, Assisted, Agent.</t>
        </is>
      </c>
    </row>
    <row r="14" ht="15" customHeight="1">
      <c r="A14" s="5" t="inlineStr">
        <is>
          <t>3. Percent lines take a percentage. Type 12 for 12%, not 0.12.</t>
        </is>
      </c>
    </row>
    <row r="15" ht="15" customHeight="1">
      <c r="A15" s="5" t="inlineStr">
        <is>
          <t>4. Pale green rows are worked out for you. Do not type into them.</t>
        </is>
      </c>
    </row>
    <row r="16" ht="45" customHeight="1">
      <c r="A16" s="5" t="inlineStr">
        <is>
          <t>5. Excel treats a blank cell as 0, so a half-filled sheet shows a number that is not a result. The page at the link below keeps the result off the screen until every line is set; here, fill every sand-coloured cell before you read the totals.</t>
        </is>
      </c>
    </row>
    <row r="17" ht="30" customHeight="1">
      <c r="A17" s="5" t="inlineStr">
        <is>
          <t>6. The Reference example sheet is the same model with every cell filled: an ordering agent across 40 sites in India, in rupees at Indian rates. Copy it, or use it to see what a finished model looks like.</t>
        </is>
      </c>
    </row>
    <row r="18" ht="30" customHeight="1">
      <c r="A18" s="5" t="inlineStr">
        <is>
          <t>7. The same model runs in the browser, with the result read against the rubric and a PDF you can build: https://learning.thelivingcraft.ai/resources/run-cost-model</t>
        </is>
      </c>
    </row>
    <row r="19">
      <c r="A19" s="1" t="n"/>
    </row>
    <row r="20">
      <c r="A20" s="4" t="inlineStr">
        <is>
          <t>Colour key</t>
        </is>
      </c>
    </row>
    <row r="21">
      <c r="A21" s="6" t="inlineStr">
        <is>
          <t>Sand: a cell you fill in.</t>
        </is>
      </c>
    </row>
    <row r="22">
      <c r="A22" s="7" t="inlineStr">
        <is>
          <t>Pale green: a line the sheet works out. Do not type into it.</t>
        </is>
      </c>
    </row>
    <row r="23" ht="30" customHeight="1">
      <c r="A23" s="5" t="inlineStr">
        <is>
          <t>• before a line: one of the nine lines most business cases leave out. Fill these from a trial log, not from a guess.</t>
        </is>
      </c>
    </row>
    <row r="24">
      <c r="A24" s="1" t="n"/>
    </row>
    <row r="25">
      <c r="A25" s="4" t="inlineStr">
        <is>
          <t>The four options</t>
        </is>
      </c>
    </row>
    <row r="26" ht="45" customHeight="1">
      <c r="A26" s="5" t="inlineStr">
        <is>
          <t>Rules workflow, as first written: Plain code that follows fixed rules, written from what the team already knew. No model anywhere in the path. It handles the common cases and declines or escalates the rest, because the rules for the hard cases were never written down.</t>
        </is>
      </c>
    </row>
    <row r="27" ht="60" customHeight="1">
      <c r="A27" s="5" t="inlineStr">
        <is>
          <t>Rules v2, rebuilt on the written spec: The same kind of plain code, rebuilt after the agent was built. Building the agent forced the team to write every decision rule down. Code rebuilt on that written spec covers more cases and declines fewer, so it costs more to build and less to run. Still no model in the path.</t>
        </is>
      </c>
    </row>
    <row r="28" ht="30" customHeight="1">
      <c r="A28" s="5" t="inlineStr">
        <is>
          <t>Model-assisted draft: A model drafts a recommendation. A person approves every one before it takes effect.</t>
        </is>
      </c>
    </row>
    <row r="29" ht="30" customHeight="1">
      <c r="A29" s="5" t="inlineStr">
        <is>
          <t>Full agent with tools: A model plans, calls tools and acts. People review a sample of cases and the exceptions.</t>
        </is>
      </c>
    </row>
    <row r="30" ht="60" customHeight="1">
      <c r="A30" s="8" t="inlineStr">
        <is>
          <t>Rules and Rules v2 are both plain code with no model in the path. The difference is where the rules came from. Rules runs on the rules the team already knew. Rules v2 runs on every rule that got written down while the agent was being built, which is why it handles more cases and costs more to build. If you have not done that spec work, set the Rules v2 column equal to Rules, or leave it blank.</t>
        </is>
      </c>
    </row>
    <row r="31">
      <c r="A31" s="1" t="n"/>
    </row>
    <row r="32">
      <c r="A32" s="4" t="inlineStr">
        <is>
          <t>Rules for using it in a budget conversation</t>
        </is>
      </c>
    </row>
    <row r="33" ht="45" customHeight="1">
      <c r="A33" s="5" t="inlineStr">
        <is>
          <t>Fill it from a trial, not from a guess. Escalation share, review minutes and the retry multiplier come from logs of real cases. A demo produces none of them. Nothing here is a benchmark: there is no industry number for your escalation rate.</t>
        </is>
      </c>
    </row>
    <row r="34" ht="30" customHeight="1">
      <c r="A34" s="5" t="inlineStr">
        <is>
          <t>Argue about cost per acceptable outcome, not cost per case. Cost per case rewards a system that quietly declines the hard cases. Cost per acceptable outcome charges it for them.</t>
        </is>
      </c>
    </row>
    <row r="35" ht="45" customHeight="1">
      <c r="A35" s="5" t="inlineStr">
        <is>
          <t>One definition of an acceptable outcome, one reviewer, all four options. The acceptable-outcome rate must come from one written definition, applied to every option by the same person. Otherwise the comparison is theatre.</t>
        </is>
      </c>
    </row>
    <row r="36" ht="30" customHeight="1">
      <c r="A36" s="5" t="inlineStr">
        <is>
          <t>Blank means unknown. Zero means measured. A blank keeps the result off the screen until you know the number. Type a 0 only when you have measured a 0. "This system never retries" is a claim.</t>
        </is>
      </c>
    </row>
    <row r="37" ht="45" customHeight="1">
      <c r="A37" s="5" t="inlineStr">
        <is>
          <t>Change the rows, keep the shape. Add a cost line your workload has and this model does not: data labelling, a vendor licence, a second reviewer for high-value decisions. The shape is the point: build kept apart from run, quality beside cost, and the operating lines visible.</t>
        </is>
      </c>
    </row>
    <row r="38">
      <c r="A38" s="1" t="n"/>
    </row>
    <row r="39">
      <c r="A39" s="4" t="inlineStr">
        <is>
          <t>How the outcome is read</t>
        </is>
      </c>
    </row>
    <row r="40" ht="30" customHeight="1">
      <c r="A40" s="8" t="inlineStr">
        <is>
          <t>The leading option is the one with the lowest cost per acceptable outcome among the options that save money against the manual baseline over the period. The last row of each model sheet names it.</t>
        </is>
      </c>
    </row>
    <row r="41" ht="60" customHeight="1">
      <c r="A41" s="5" t="inlineStr">
        <is>
          <t>The full agent earns its keep — The full agent has the lowest cost per acceptable outcome and beats the manual baseline. Before you commit, measure the three lines that drive this number in a trial: escalation share, review minutes and the retry multiplier. If the trial moves any of them, run the model again before the budget conversation.</t>
        </is>
      </c>
    </row>
    <row r="42" ht="60" customHeight="1">
      <c r="A42" s="5" t="inlineStr">
        <is>
          <t>Draft with a model, approve with a person — The model-assisted draft has the lowest cost per acceptable outcome and beats the manual baseline. Every case still passes a reviewer, so review minutes per case is the line that decides this. Time it on real cases, not on a demo. If review time doubles, check whether the full agent or the rules workflow now leads.</t>
        </is>
      </c>
    </row>
    <row r="43" ht="60" customHeight="1">
      <c r="A43" s="5" t="inlineStr">
        <is>
          <t>The written spec is the asset. Run the code. — The rebuilt rules workflow has the lowest cost per acceptable outcome and beats the manual baseline. The agent build paid for itself by forcing the team to write the decision rules down. Ship the rebuilt rules workflow, and keep the specification under version control like any other code. Revisit the model when volume or the price of a call changes.</t>
        </is>
      </c>
    </row>
    <row r="44" ht="60" customHeight="1">
      <c r="A44" s="5" t="inlineStr">
        <is>
          <t>The rules workflow wins as it stands — The original rules workflow has the lowest cost per acceptable outcome and beats the manual baseline. No model earns its cost on this workload at these rates. Keep the rules workflow. Check the acceptable-outcome rate first: if the rules workflow declines a lot of cases, its quality line may be the one that is wrong.</t>
        </is>
      </c>
    </row>
    <row r="45" ht="45" customHeight="1">
      <c r="A45" s="5" t="inlineStr">
        <is>
          <t>Nothing here beats doing it by hand — No option saves money against the manual baseline over the period. Either the volume is too low to earn back a build, or a rate needs checking. Do not build for cost. Build only if there is another reason, and write that reason down in the decision record.</t>
        </is>
      </c>
    </row>
    <row r="46">
      <c r="A46" s="1" t="n"/>
    </row>
    <row r="47">
      <c r="A47" s="4" t="inlineStr">
        <is>
          <t>The nine lines teams leave out</t>
        </is>
      </c>
    </row>
    <row r="48" ht="45" customHeight="1">
      <c r="A48" s="5" t="inlineStr">
        <is>
          <t>retry and failure multiplier · review minutes per reviewed case · engineer minutes per escalation · share of cases declined or abandoned · observability and eval tooling · eval maintenance · model-version re-qualification · prompt and regression testing · incident and on-call load</t>
        </is>
      </c>
    </row>
    <row r="49">
      <c r="A49" s="1" t="n"/>
    </row>
    <row r="50">
      <c r="A50" s="4" t="inlineStr">
        <is>
          <t>What this model does not price</t>
        </is>
      </c>
    </row>
    <row r="51" ht="15" customHeight="1">
      <c r="A51" s="5" t="inlineStr">
        <is>
          <t>It assumes steady volume, one workload and stable rates for the whole period.</t>
        </is>
      </c>
    </row>
    <row r="52" ht="15" customHeight="1">
      <c r="A52" s="5" t="inlineStr">
        <is>
          <t>It does not price revenue upside. A system that wins new business is not captured by a cost line.</t>
        </is>
      </c>
    </row>
    <row r="53" ht="30" customHeight="1">
      <c r="A53" s="5" t="inlineStr">
        <is>
          <t>It does not price the risk of a wrong action that cannot be undone. That belongs in the Agent Authority Review, not in a cell here.</t>
        </is>
      </c>
    </row>
    <row r="54" ht="30" customHeight="1">
      <c r="A54" s="5" t="inlineStr">
        <is>
          <t>It does not price the option value of the capability you build. If that is the argument, write it in the decision record in words, not as a number in this sheet.</t>
        </is>
      </c>
    </row>
    <row r="55">
      <c r="A55" s="1" t="n"/>
    </row>
    <row r="56">
      <c r="A56" s="9" t="inlineStr">
        <is>
          <t>Join the cohort</t>
        </is>
      </c>
    </row>
    <row r="57" ht="15" customHeight="1">
      <c r="A57" s="10" t="inlineStr">
        <is>
          <t>The Living Craft is a 6-week live programme in agentic systems architecture, taught by Sunil Mathew.</t>
        </is>
      </c>
    </row>
    <row r="58" ht="15" customHeight="1">
      <c r="A58" s="10" t="inlineStr">
        <is>
          <t>6 weeks, live, at ~5 hrs / week. The cohort is capped at 8 seats. Starts October 2026.</t>
        </is>
      </c>
    </row>
    <row r="59" ht="15" customHeight="1">
      <c r="A59" s="10" t="inlineStr">
        <is>
          <t>By application; every application read personally. Applying commits you to nothing.</t>
        </is>
      </c>
    </row>
    <row r="60">
      <c r="A60" s="11" t="inlineStr">
        <is>
          <t>Apply at https://learning.thelivingcraft.ai/#apply</t>
        </is>
      </c>
    </row>
    <row r="61">
      <c r="A61" s="1" t="n"/>
    </row>
    <row r="62" ht="30" customHeight="1">
      <c r="A62" s="12" t="inlineStr">
        <is>
          <t>The Run-Cost Model Tool · The Living Craft · Built by Sunil Mathew, co-authored with Claude · free to use and to pass on</t>
        </is>
      </c>
    </row>
    <row r="63">
      <c r="A63" s="1" t="n"/>
    </row>
    <row r="64">
      <c r="A64" s="1" t="n"/>
    </row>
  </sheetData>
  <hyperlinks>
    <hyperlink xmlns:r="http://schemas.openxmlformats.org/officeDocument/2006/relationships" ref="A60" r:id="rId1"/>
  </hyperlinks>
  <printOptions horizontalCentered="1"/>
  <pageMargins left="0.75" right="0.75" top="1" bottom="1" header="0.5" footer="0.5"/>
  <pageSetup orientation="portrait" paperSize="9" fitToHeight="0" fitToWidth="1"/>
  <drawing xmlns:r="http://schemas.openxmlformats.org/officeDocument/2006/relationships" r:id="rId2"/>
</worksheet>
</file>

<file path=xl/worksheets/sheet2.xml><?xml version="1.0" encoding="utf-8"?>
<worksheet xmlns="http://schemas.openxmlformats.org/spreadsheetml/2006/main">
  <sheetPr>
    <tabColor rgb="00183D32"/>
    <outlinePr summaryBelow="1" summaryRight="1"/>
    <pageSetUpPr fitToPage="1"/>
  </sheetPr>
  <dimension ref="A1:G71"/>
  <sheetViews>
    <sheetView showGridLines="0" workbookViewId="0">
      <pane xSplit="3" ySplit="8" topLeftCell="D9" activePane="bottomRight" state="frozen"/>
      <selection pane="topRight"/>
      <selection pane="bottomLeft"/>
      <selection pane="bottomRight" activeCell="A1" sqref="A1"/>
    </sheetView>
  </sheetViews>
  <sheetFormatPr baseColWidth="8" defaultRowHeight="15"/>
  <cols>
    <col width="44" customWidth="1" min="1" max="1"/>
    <col width="20" customWidth="1" min="2" max="2"/>
    <col width="62" customWidth="1" min="3" max="3"/>
    <col width="16" customWidth="1" min="4" max="4"/>
    <col width="16" customWidth="1" min="5" max="5"/>
    <col width="16" customWidth="1" min="6" max="6"/>
    <col width="16" customWidth="1" min="7" max="7"/>
  </cols>
  <sheetData>
    <row r="1" ht="34" customHeight="1">
      <c r="A1" s="1" t="n"/>
      <c r="B1" s="1" t="n"/>
      <c r="C1" s="1" t="n"/>
      <c r="D1" s="1" t="n"/>
      <c r="E1" s="1" t="n"/>
      <c r="F1" s="1" t="n"/>
      <c r="G1" s="1" t="n"/>
    </row>
    <row r="2" ht="34" customHeight="1">
      <c r="A2" s="2" t="inlineStr">
        <is>
          <t>The Run-Cost Model Tool</t>
        </is>
      </c>
      <c r="B2" s="13" t="n"/>
      <c r="C2" s="13" t="n"/>
      <c r="D2" s="13" t="n"/>
      <c r="E2" s="13" t="n"/>
      <c r="F2" s="13" t="n"/>
      <c r="G2" s="13" t="n"/>
    </row>
    <row r="3" ht="18" customHeight="1">
      <c r="A3" s="3" t="inlineStr">
        <is>
          <t>Four ways to do the same job, costed over one period  ·  Built by Sunil Mathew, co-authored with Claude</t>
        </is>
      </c>
      <c r="B3" s="1" t="n"/>
      <c r="C3" s="1" t="n"/>
      <c r="D3" s="1" t="n"/>
      <c r="E3" s="1" t="n"/>
      <c r="F3" s="1" t="n"/>
      <c r="G3" s="1" t="n"/>
    </row>
    <row r="4">
      <c r="A4" s="1" t="n"/>
      <c r="B4" s="1" t="n"/>
      <c r="C4" s="1" t="n"/>
      <c r="D4" s="1" t="n"/>
      <c r="E4" s="1" t="n"/>
      <c r="F4" s="1" t="n"/>
      <c r="G4" s="1" t="n"/>
    </row>
    <row r="5" ht="30" customHeight="1">
      <c r="A5" s="5" t="inlineStr">
        <is>
          <t>Fill the sand-coloured cells. Column C says what to type and where the number comes from. Pale green rows are worked out for you; do not type into them. Percent lines take a percentage: 12 means 12%.</t>
        </is>
      </c>
      <c r="B5" s="1" t="n"/>
      <c r="C5" s="1" t="n"/>
      <c r="D5" s="1" t="n"/>
      <c r="E5" s="1" t="n"/>
      <c r="F5" s="1" t="n"/>
      <c r="G5" s="1" t="n"/>
    </row>
    <row r="6">
      <c r="A6" s="1" t="n"/>
      <c r="B6" s="1" t="n"/>
      <c r="C6" s="1" t="n"/>
      <c r="D6" s="1" t="n"/>
      <c r="E6" s="1" t="n"/>
      <c r="F6" s="1" t="n"/>
      <c r="G6" s="1" t="n"/>
    </row>
    <row r="7">
      <c r="A7" s="14" t="inlineStr">
        <is>
          <t>Line</t>
        </is>
      </c>
      <c r="B7" s="14" t="inlineStr">
        <is>
          <t>Unit</t>
        </is>
      </c>
      <c r="C7" s="14" t="inlineStr">
        <is>
          <t>What to type</t>
        </is>
      </c>
      <c r="D7" s="15" t="inlineStr">
        <is>
          <t>Rules</t>
        </is>
      </c>
      <c r="E7" s="15" t="inlineStr">
        <is>
          <t>Rules v2</t>
        </is>
      </c>
      <c r="F7" s="15" t="inlineStr">
        <is>
          <t>Assisted</t>
        </is>
      </c>
      <c r="G7" s="15" t="inlineStr">
        <is>
          <t>Agent</t>
        </is>
      </c>
    </row>
    <row r="8" ht="26" customHeight="1">
      <c r="A8" s="1" t="n"/>
      <c r="B8" s="1" t="n"/>
      <c r="C8" s="1" t="n"/>
      <c r="D8" s="16" t="inlineStr">
        <is>
          <t>Plain code, from the rules the team already knew.</t>
        </is>
      </c>
      <c r="E8" s="16" t="inlineStr">
        <is>
          <t>Plain code again, rebuilt on every rule the agent build forced you to write down.</t>
        </is>
      </c>
      <c r="F8" s="16" t="inlineStr">
        <is>
          <t>Model drafts. A person approves each one.</t>
        </is>
      </c>
      <c r="G8" s="16" t="inlineStr">
        <is>
          <t>Model plans, calls tools, acts.</t>
        </is>
      </c>
    </row>
    <row r="9" ht="20" customHeight="1">
      <c r="A9" s="17" t="inlineStr">
        <is>
          <t>1  Workload and manual baseline</t>
        </is>
      </c>
      <c r="B9" s="18" t="n"/>
      <c r="C9" s="19" t="inlineStr">
        <is>
          <t>What does this work cost today, done by hand?</t>
        </is>
      </c>
      <c r="D9" s="18" t="n"/>
      <c r="E9" s="18" t="n"/>
      <c r="F9" s="18" t="n"/>
      <c r="G9" s="18" t="n"/>
    </row>
    <row r="10" ht="30" customHeight="1">
      <c r="A10" s="5" t="inlineStr">
        <is>
          <t>Currency label</t>
        </is>
      </c>
      <c r="B10" s="3" t="inlineStr">
        <is>
          <t>free text</t>
        </is>
      </c>
      <c r="C10" s="12" t="inlineStr">
        <is>
          <t>Such as INR or USD. A label only; the formulas do not read it.</t>
        </is>
      </c>
      <c r="D10" s="6" t="n"/>
      <c r="E10" s="1" t="n"/>
      <c r="F10" s="1" t="n"/>
      <c r="G10" s="1" t="n"/>
    </row>
    <row r="11" ht="42" customHeight="1">
      <c r="A11" s="5" t="inlineStr">
        <is>
          <t>Cases per month</t>
        </is>
      </c>
      <c r="B11" s="12" t="inlineStr">
        <is>
          <t>count</t>
        </is>
      </c>
      <c r="C11" s="12" t="inlineStr">
        <is>
          <t>One case is one unit of work: a purchase order, a ticket, a refund request. Take the count from last quarter, not from the plan.</t>
        </is>
      </c>
      <c r="D11" s="20" t="n"/>
      <c r="E11" s="1" t="n"/>
      <c r="F11" s="1" t="n"/>
      <c r="G11" s="1" t="n"/>
    </row>
    <row r="12" ht="42" customHeight="1">
      <c r="A12" s="5" t="inlineStr">
        <is>
          <t>Months in the period</t>
        </is>
      </c>
      <c r="B12" s="12" t="inlineStr">
        <is>
          <t>months</t>
        </is>
      </c>
      <c r="C12" s="12" t="inlineStr">
        <is>
          <t>The window the build has to pay for itself. Twelve is the usual budget horizon. Make it longer only if you can defend the longer horizon in the room.</t>
        </is>
      </c>
      <c r="D12" s="20" t="n"/>
      <c r="E12" s="1" t="n"/>
      <c r="F12" s="1" t="n"/>
      <c r="G12" s="1" t="n"/>
    </row>
    <row r="13" ht="42" customHeight="1">
      <c r="A13" s="5" t="inlineStr">
        <is>
          <t>Minutes per case, by hand</t>
        </is>
      </c>
      <c r="B13" s="12" t="inlineStr">
        <is>
          <t>minutes</t>
        </is>
      </c>
      <c r="C13" s="12" t="inlineStr">
        <is>
          <t>How long one person takes to finish one case today. Time it on ten real cases.</t>
        </is>
      </c>
      <c r="D13" s="20" t="n"/>
      <c r="E13" s="1" t="n"/>
      <c r="F13" s="1" t="n"/>
      <c r="G13" s="1" t="n"/>
    </row>
    <row r="14" ht="42" customHeight="1">
      <c r="A14" s="5" t="inlineStr">
        <is>
          <t>Cost per hour of the person doing it by hand</t>
        </is>
      </c>
      <c r="B14" s="12" t="inlineStr">
        <is>
          <t>currency per hour</t>
        </is>
      </c>
      <c r="C14" s="12" t="inlineStr">
        <is>
          <t>Fully loaded: salary, benefits, seat. Use the rate of the people who actually do the work today.</t>
        </is>
      </c>
      <c r="D14" s="20" t="n"/>
      <c r="E14" s="1" t="n"/>
      <c r="F14" s="1" t="n"/>
      <c r="G14" s="1" t="n"/>
    </row>
    <row r="15" ht="30" customHeight="1">
      <c r="A15" s="21" t="inlineStr">
        <is>
          <t>Total cases in the period</t>
        </is>
      </c>
      <c r="B15" s="22" t="inlineStr">
        <is>
          <t>worked out</t>
        </is>
      </c>
      <c r="C15" s="23" t="inlineStr">
        <is>
          <t>Cases per month multiplied by months.</t>
        </is>
      </c>
      <c r="D15" s="24">
        <f>$D$11*$D$12</f>
        <v/>
      </c>
      <c r="E15" s="25" t="n"/>
      <c r="F15" s="25" t="n"/>
      <c r="G15" s="25" t="n"/>
    </row>
    <row r="16" ht="30" customHeight="1">
      <c r="A16" s="21" t="inlineStr">
        <is>
          <t>Manual baseline cost for the period</t>
        </is>
      </c>
      <c r="B16" s="22" t="inlineStr">
        <is>
          <t>worked out</t>
        </is>
      </c>
      <c r="C16" s="23" t="inlineStr">
        <is>
          <t>Total cases, times minutes per case, times the hourly rate. This is the number every option has to beat.</t>
        </is>
      </c>
      <c r="D16" s="24">
        <f>$D$15*$D$13/60*$D$14</f>
        <v/>
      </c>
      <c r="E16" s="25" t="n"/>
      <c r="F16" s="25" t="n"/>
      <c r="G16" s="25" t="n"/>
    </row>
    <row r="17">
      <c r="A17" s="1" t="n"/>
      <c r="B17" s="1" t="n"/>
      <c r="C17" s="1" t="n"/>
      <c r="D17" s="1" t="n"/>
      <c r="E17" s="1" t="n"/>
      <c r="F17" s="1" t="n"/>
      <c r="G17" s="1" t="n"/>
    </row>
    <row r="18" ht="20" customHeight="1">
      <c r="A18" s="17" t="inlineStr">
        <is>
          <t>2  Team rates</t>
        </is>
      </c>
      <c r="B18" s="18" t="n"/>
      <c r="C18" s="19" t="inlineStr">
        <is>
          <t>What does an hour of each person cost?</t>
        </is>
      </c>
      <c r="D18" s="18" t="n"/>
      <c r="E18" s="18" t="n"/>
      <c r="F18" s="18" t="n"/>
      <c r="G18" s="18" t="n"/>
    </row>
    <row r="19" ht="42" customHeight="1">
      <c r="A19" s="5" t="inlineStr">
        <is>
          <t>Engineering day rate</t>
        </is>
      </c>
      <c r="B19" s="12" t="inlineStr">
        <is>
          <t>currency per day</t>
        </is>
      </c>
      <c r="C19" s="12" t="inlineStr">
        <is>
          <t>What one engineer-day costs you. Used for the build and for upkeep.</t>
        </is>
      </c>
      <c r="D19" s="20" t="n"/>
      <c r="E19" s="1" t="n"/>
      <c r="F19" s="1" t="n"/>
      <c r="G19" s="1" t="n"/>
    </row>
    <row r="20" ht="42" customHeight="1">
      <c r="A20" s="5" t="inlineStr">
        <is>
          <t>Engineer cost per hour</t>
        </is>
      </c>
      <c r="B20" s="12" t="inlineStr">
        <is>
          <t>currency per hour</t>
        </is>
      </c>
      <c r="C20" s="12" t="inlineStr">
        <is>
          <t>Used for escalations: the cases an engineer has to look at.</t>
        </is>
      </c>
      <c r="D20" s="20" t="n"/>
      <c r="E20" s="1" t="n"/>
      <c r="F20" s="1" t="n"/>
      <c r="G20" s="1" t="n"/>
    </row>
    <row r="21" ht="42" customHeight="1">
      <c r="A21" s="5" t="inlineStr">
        <is>
          <t>Reviewer cost per hour</t>
        </is>
      </c>
      <c r="B21" s="12" t="inlineStr">
        <is>
          <t>currency per hour</t>
        </is>
      </c>
      <c r="C21" s="12" t="inlineStr">
        <is>
          <t>Used for reviewing output and for finishing declined cases by hand. Often the same rate as the manual baseline.</t>
        </is>
      </c>
      <c r="D21" s="20" t="n"/>
      <c r="E21" s="1" t="n"/>
      <c r="F21" s="1" t="n"/>
      <c r="G21" s="1" t="n"/>
    </row>
    <row r="22">
      <c r="A22" s="1" t="n"/>
      <c r="B22" s="1" t="n"/>
      <c r="C22" s="1" t="n"/>
      <c r="D22" s="1" t="n"/>
      <c r="E22" s="1" t="n"/>
      <c r="F22" s="1" t="n"/>
      <c r="G22" s="1" t="n"/>
    </row>
    <row r="23" ht="20" customHeight="1">
      <c r="A23" s="17" t="inlineStr">
        <is>
          <t>3  Build cost, paid once</t>
        </is>
      </c>
      <c r="B23" s="18" t="n"/>
      <c r="C23" s="19" t="inlineStr">
        <is>
          <t>What does each option cost before it handles its first case?</t>
        </is>
      </c>
      <c r="D23" s="18" t="n"/>
      <c r="E23" s="18" t="n"/>
      <c r="F23" s="18" t="n"/>
      <c r="G23" s="18" t="n"/>
    </row>
    <row r="24" ht="42" customHeight="1">
      <c r="A24" s="5" t="inlineStr">
        <is>
          <t>Engineering days to build</t>
        </is>
      </c>
      <c r="B24" s="12" t="inlineStr">
        <is>
          <t>days</t>
        </is>
      </c>
      <c r="C24" s="12" t="inlineStr">
        <is>
          <t>From the first line of code to a system that handles real cases. Include integration with the tools it calls.</t>
        </is>
      </c>
      <c r="D24" s="20" t="n"/>
      <c r="E24" s="20" t="n"/>
      <c r="F24" s="20" t="n"/>
      <c r="G24" s="20" t="n"/>
    </row>
    <row r="25" ht="42" customHeight="1">
      <c r="A25" s="5" t="inlineStr">
        <is>
          <t>Engineering days for evals and a test set</t>
        </is>
      </c>
      <c r="B25" s="12" t="inlineStr">
        <is>
          <t>days</t>
        </is>
      </c>
      <c r="C25" s="12" t="inlineStr">
        <is>
          <t>An eval is a set of real cases with known-correct answers that the system is scored against. Building one is engineering time.</t>
        </is>
      </c>
      <c r="D25" s="20" t="n"/>
      <c r="E25" s="20" t="n"/>
      <c r="F25" s="20" t="n"/>
      <c r="G25" s="20" t="n"/>
    </row>
    <row r="26" ht="30" customHeight="1">
      <c r="A26" s="21" t="inlineStr">
        <is>
          <t>Total build cost</t>
        </is>
      </c>
      <c r="B26" s="22" t="inlineStr">
        <is>
          <t>worked out</t>
        </is>
      </c>
      <c r="C26" s="23" t="inlineStr">
        <is>
          <t>Build days plus eval days, times the engineering day rate.</t>
        </is>
      </c>
      <c r="D26" s="24">
        <f>(D24+D25)*$D$19</f>
        <v/>
      </c>
      <c r="E26" s="24">
        <f>(E24+E25)*$D$19</f>
        <v/>
      </c>
      <c r="F26" s="24">
        <f>(F24+F25)*$D$19</f>
        <v/>
      </c>
      <c r="G26" s="24">
        <f>(G24+G25)*$D$19</f>
        <v/>
      </c>
    </row>
    <row r="27">
      <c r="A27" s="1" t="n"/>
      <c r="B27" s="1" t="n"/>
      <c r="C27" s="1" t="n"/>
      <c r="D27" s="1" t="n"/>
      <c r="E27" s="1" t="n"/>
      <c r="F27" s="1" t="n"/>
      <c r="G27" s="1" t="n"/>
    </row>
    <row r="28" ht="20" customHeight="1">
      <c r="A28" s="17" t="inlineStr">
        <is>
          <t>4  Inference and tool calls, per month</t>
        </is>
      </c>
      <c r="B28" s="18" t="n"/>
      <c r="C28" s="19" t="inlineStr">
        <is>
          <t>What does the model bill actually include?</t>
        </is>
      </c>
      <c r="D28" s="18" t="n"/>
      <c r="E28" s="18" t="n"/>
      <c r="F28" s="18" t="n"/>
      <c r="G28" s="18" t="n"/>
    </row>
    <row r="29" ht="42" customHeight="1">
      <c r="A29" s="5" t="inlineStr">
        <is>
          <t>Model calls per case, successful</t>
        </is>
      </c>
      <c r="B29" s="12" t="inlineStr">
        <is>
          <t>calls per case</t>
        </is>
      </c>
      <c r="C29" s="12" t="inlineStr">
        <is>
          <t>How many times a case calls the model when everything works. An agent that plans, then acts, then checks its work makes several.</t>
        </is>
      </c>
      <c r="D29" s="20" t="n"/>
      <c r="E29" s="20" t="n"/>
      <c r="F29" s="20" t="n"/>
      <c r="G29" s="20" t="n"/>
    </row>
    <row r="30" ht="42" customHeight="1">
      <c r="A30" s="26" t="inlineStr">
        <is>
          <t>• Retry and failure multiplier</t>
        </is>
      </c>
      <c r="B30" s="12" t="inlineStr">
        <is>
          <t>multiplier, 1.0 = no retries</t>
        </is>
      </c>
      <c r="C30" s="12" t="inlineStr">
        <is>
          <t>Total model calls divided by successful ones. Count timeouts, tool errors and loops that re-enter, not only refusals. 1.0 means the system never retries, which no real system does.</t>
        </is>
      </c>
      <c r="D30" s="20" t="n"/>
      <c r="E30" s="20" t="n"/>
      <c r="F30" s="20" t="n"/>
      <c r="G30" s="20" t="n"/>
    </row>
    <row r="31" ht="42" customHeight="1">
      <c r="A31" s="5" t="inlineStr">
        <is>
          <t>Cost per model call</t>
        </is>
      </c>
      <c r="B31" s="12" t="inlineStr">
        <is>
          <t>currency</t>
        </is>
      </c>
      <c r="C31" s="12" t="inlineStr">
        <is>
          <t>Average cost of one call, including the input tokens. Take it from a month of real invoices, not from the price list.</t>
        </is>
      </c>
      <c r="D31" s="20" t="n"/>
      <c r="E31" s="20" t="n"/>
      <c r="F31" s="20" t="n"/>
      <c r="G31" s="20" t="n"/>
    </row>
    <row r="32" ht="42" customHeight="1">
      <c r="A32" s="5" t="inlineStr">
        <is>
          <t>Tool and API calls per case</t>
        </is>
      </c>
      <c r="B32" s="12" t="inlineStr">
        <is>
          <t>calls per case</t>
        </is>
      </c>
      <c r="C32" s="12" t="inlineStr">
        <is>
          <t>Lookups, searches, writes to other systems. Anything with a price per call or a rate limit.</t>
        </is>
      </c>
      <c r="D32" s="20" t="n"/>
      <c r="E32" s="20" t="n"/>
      <c r="F32" s="20" t="n"/>
      <c r="G32" s="20" t="n"/>
    </row>
    <row r="33" ht="42" customHeight="1">
      <c r="A33" s="5" t="inlineStr">
        <is>
          <t>Cost per tool call</t>
        </is>
      </c>
      <c r="B33" s="12" t="inlineStr">
        <is>
          <t>currency</t>
        </is>
      </c>
      <c r="C33" s="12" t="inlineStr">
        <is>
          <t>Average across the tools it calls. Internal calls are not free: price the compute.</t>
        </is>
      </c>
      <c r="D33" s="20" t="n"/>
      <c r="E33" s="20" t="n"/>
      <c r="F33" s="20" t="n"/>
      <c r="G33" s="20" t="n"/>
    </row>
    <row r="34" ht="30" customHeight="1">
      <c r="A34" s="21" t="inlineStr">
        <is>
          <t>Model cost per month</t>
        </is>
      </c>
      <c r="B34" s="22" t="inlineStr">
        <is>
          <t>worked out</t>
        </is>
      </c>
      <c r="C34" s="23" t="inlineStr">
        <is>
          <t>Cases per month, times calls per case, times the retry multiplier, times the cost per call.</t>
        </is>
      </c>
      <c r="D34" s="24">
        <f>$D$11*D29*D30*D31</f>
        <v/>
      </c>
      <c r="E34" s="24">
        <f>$D$11*E29*E30*E31</f>
        <v/>
      </c>
      <c r="F34" s="24">
        <f>$D$11*F29*F30*F31</f>
        <v/>
      </c>
      <c r="G34" s="24">
        <f>$D$11*G29*G30*G31</f>
        <v/>
      </c>
    </row>
    <row r="35" ht="30" customHeight="1">
      <c r="A35" s="21" t="inlineStr">
        <is>
          <t>Tool cost per month</t>
        </is>
      </c>
      <c r="B35" s="22" t="inlineStr">
        <is>
          <t>worked out</t>
        </is>
      </c>
      <c r="C35" s="23" t="inlineStr">
        <is>
          <t>Cases per month, times tool calls per case, times the cost per tool call.</t>
        </is>
      </c>
      <c r="D35" s="24">
        <f>$D$11*D32*D33</f>
        <v/>
      </c>
      <c r="E35" s="24">
        <f>$D$11*E32*E33</f>
        <v/>
      </c>
      <c r="F35" s="24">
        <f>$D$11*F32*F33</f>
        <v/>
      </c>
      <c r="G35" s="24">
        <f>$D$11*G32*G33</f>
        <v/>
      </c>
    </row>
    <row r="36">
      <c r="A36" s="1" t="n"/>
      <c r="B36" s="1" t="n"/>
      <c r="C36" s="1" t="n"/>
      <c r="D36" s="1" t="n"/>
      <c r="E36" s="1" t="n"/>
      <c r="F36" s="1" t="n"/>
      <c r="G36" s="1" t="n"/>
    </row>
    <row r="37" ht="20" customHeight="1">
      <c r="A37" s="17" t="inlineStr">
        <is>
          <t>5  Human in the loop, per month</t>
        </is>
      </c>
      <c r="B37" s="18" t="n"/>
      <c r="C37" s="19" t="inlineStr">
        <is>
          <t>How much human time does each option still need?</t>
        </is>
      </c>
      <c r="D37" s="18" t="n"/>
      <c r="E37" s="18" t="n"/>
      <c r="F37" s="18" t="n"/>
      <c r="G37" s="18" t="n"/>
    </row>
    <row r="38" ht="42" customHeight="1">
      <c r="A38" s="5" t="inlineStr">
        <is>
          <t>Share of cases a person reviews</t>
        </is>
      </c>
      <c r="B38" s="12" t="inlineStr">
        <is>
          <t>%</t>
        </is>
      </c>
      <c r="C38" s="12" t="inlineStr">
        <is>
          <t>100 for a model-assisted draft, because a person approves every one. A sample, such as 20, for a full agent.</t>
        </is>
      </c>
      <c r="D38" s="20" t="n"/>
      <c r="E38" s="20" t="n"/>
      <c r="F38" s="20" t="n"/>
      <c r="G38" s="20" t="n"/>
    </row>
    <row r="39" ht="42" customHeight="1">
      <c r="A39" s="26" t="inlineStr">
        <is>
          <t>• Review minutes per reviewed case</t>
        </is>
      </c>
      <c r="B39" s="12" t="inlineStr">
        <is>
          <t>minutes</t>
        </is>
      </c>
      <c r="C39" s="12" t="inlineStr">
        <is>
          <t>Time it on real cases. Approving a good draft is quick; checking an agent that acted on its own is not.</t>
        </is>
      </c>
      <c r="D39" s="20" t="n"/>
      <c r="E39" s="20" t="n"/>
      <c r="F39" s="20" t="n"/>
      <c r="G39" s="20" t="n"/>
    </row>
    <row r="40" ht="42" customHeight="1">
      <c r="A40" s="5" t="inlineStr">
        <is>
          <t>Share of cases escalated to an engineer</t>
        </is>
      </c>
      <c r="B40" s="12" t="inlineStr">
        <is>
          <t>%</t>
        </is>
      </c>
      <c r="C40" s="12" t="inlineStr">
        <is>
          <t>Cases that stop and need somebody who can read the trace. Measure it in a trial. A demo will show you 0.</t>
        </is>
      </c>
      <c r="D40" s="20" t="n"/>
      <c r="E40" s="20" t="n"/>
      <c r="F40" s="20" t="n"/>
      <c r="G40" s="20" t="n"/>
    </row>
    <row r="41" ht="42" customHeight="1">
      <c r="A41" s="26" t="inlineStr">
        <is>
          <t>• Engineer minutes per escalation</t>
        </is>
      </c>
      <c r="B41" s="12" t="inlineStr">
        <is>
          <t>minutes</t>
        </is>
      </c>
      <c r="C41" s="12" t="inlineStr">
        <is>
          <t>Reading the trace, working out what happened, fixing the case. Longer for an agent, because there is more trace to read.</t>
        </is>
      </c>
      <c r="D41" s="20" t="n"/>
      <c r="E41" s="20" t="n"/>
      <c r="F41" s="20" t="n"/>
      <c r="G41" s="20" t="n"/>
    </row>
    <row r="42" ht="42" customHeight="1">
      <c r="A42" s="26" t="inlineStr">
        <is>
          <t>• Share of cases declined or abandoned</t>
        </is>
      </c>
      <c r="B42" s="12" t="inlineStr">
        <is>
          <t>%</t>
        </is>
      </c>
      <c r="C42" s="12" t="inlineStr">
        <is>
          <t>Cases the system refuses or gives up on. They do not disappear: a person finishes them, at the manual rate.</t>
        </is>
      </c>
      <c r="D42" s="20" t="n"/>
      <c r="E42" s="20" t="n"/>
      <c r="F42" s="20" t="n"/>
      <c r="G42" s="20" t="n"/>
    </row>
    <row r="43" ht="42" customHeight="1">
      <c r="A43" s="5" t="inlineStr">
        <is>
          <t>Manual minutes per declined case</t>
        </is>
      </c>
      <c r="B43" s="12" t="inlineStr">
        <is>
          <t>minutes</t>
        </is>
      </c>
      <c r="C43" s="12" t="inlineStr">
        <is>
          <t>Usually close to the manual baseline, because the person starts from nothing.</t>
        </is>
      </c>
      <c r="D43" s="20" t="n"/>
      <c r="E43" s="20" t="n"/>
      <c r="F43" s="20" t="n"/>
      <c r="G43" s="20" t="n"/>
    </row>
    <row r="44" ht="30" customHeight="1">
      <c r="A44" s="21" t="inlineStr">
        <is>
          <t>Review cost per month</t>
        </is>
      </c>
      <c r="B44" s="22" t="inlineStr">
        <is>
          <t>worked out</t>
        </is>
      </c>
      <c r="C44" s="23" t="inlineStr">
        <is>
          <t>Cases per month, times the share reviewed, times minutes per review, at the reviewer rate.</t>
        </is>
      </c>
      <c r="D44" s="24">
        <f>$D$11*D38/100*D39/60*$D$21</f>
        <v/>
      </c>
      <c r="E44" s="24">
        <f>$D$11*E38/100*E39/60*$D$21</f>
        <v/>
      </c>
      <c r="F44" s="24">
        <f>$D$11*F38/100*F39/60*$D$21</f>
        <v/>
      </c>
      <c r="G44" s="24">
        <f>$D$11*G38/100*G39/60*$D$21</f>
        <v/>
      </c>
    </row>
    <row r="45" ht="30" customHeight="1">
      <c r="A45" s="21" t="inlineStr">
        <is>
          <t>Escalation cost per month</t>
        </is>
      </c>
      <c r="B45" s="22" t="inlineStr">
        <is>
          <t>worked out</t>
        </is>
      </c>
      <c r="C45" s="23" t="inlineStr">
        <is>
          <t>Cases per month, times the share escalated, times minutes per escalation, at the engineer rate.</t>
        </is>
      </c>
      <c r="D45" s="24">
        <f>$D$11*D40/100*D41/60*$D$20</f>
        <v/>
      </c>
      <c r="E45" s="24">
        <f>$D$11*E40/100*E41/60*$D$20</f>
        <v/>
      </c>
      <c r="F45" s="24">
        <f>$D$11*F40/100*F41/60*$D$20</f>
        <v/>
      </c>
      <c r="G45" s="24">
        <f>$D$11*G40/100*G41/60*$D$20</f>
        <v/>
      </c>
    </row>
    <row r="46" ht="30" customHeight="1">
      <c r="A46" s="21" t="inlineStr">
        <is>
          <t>Declined-case cost per month</t>
        </is>
      </c>
      <c r="B46" s="22" t="inlineStr">
        <is>
          <t>worked out</t>
        </is>
      </c>
      <c r="C46" s="23" t="inlineStr">
        <is>
          <t>Cases per month, times the share declined, times manual minutes, at the reviewer rate.</t>
        </is>
      </c>
      <c r="D46" s="24">
        <f>$D$11*D42/100*D43/60*$D$21</f>
        <v/>
      </c>
      <c r="E46" s="24">
        <f>$D$11*E42/100*E43/60*$D$21</f>
        <v/>
      </c>
      <c r="F46" s="24">
        <f>$D$11*F42/100*F43/60*$D$21</f>
        <v/>
      </c>
      <c r="G46" s="24">
        <f>$D$11*G42/100*G43/60*$D$21</f>
        <v/>
      </c>
    </row>
    <row r="47">
      <c r="A47" s="1" t="n"/>
      <c r="B47" s="1" t="n"/>
      <c r="C47" s="1" t="n"/>
      <c r="D47" s="1" t="n"/>
      <c r="E47" s="1" t="n"/>
      <c r="F47" s="1" t="n"/>
      <c r="G47" s="1" t="n"/>
    </row>
    <row r="48" ht="20" customHeight="1">
      <c r="A48" s="17" t="inlineStr">
        <is>
          <t>6  Upkeep and operations, per month</t>
        </is>
      </c>
      <c r="B48" s="18" t="n"/>
      <c r="C48" s="19" t="inlineStr">
        <is>
          <t>What does it cost to keep the system trustworthy after launch?</t>
        </is>
      </c>
      <c r="D48" s="18" t="n"/>
      <c r="E48" s="18" t="n"/>
      <c r="F48" s="18" t="n"/>
      <c r="G48" s="18" t="n"/>
    </row>
    <row r="49" ht="42" customHeight="1">
      <c r="A49" s="26" t="inlineStr">
        <is>
          <t>• Observability and eval tooling</t>
        </is>
      </c>
      <c r="B49" s="12" t="inlineStr">
        <is>
          <t>currency per month</t>
        </is>
      </c>
      <c r="C49" s="12" t="inlineStr">
        <is>
          <t>Tracing, logging, the eval runner, the dashboards. Licence fees or the compute to run your own.</t>
        </is>
      </c>
      <c r="D49" s="20" t="n"/>
      <c r="E49" s="20" t="n"/>
      <c r="F49" s="20" t="n"/>
      <c r="G49" s="20" t="n"/>
    </row>
    <row r="50" ht="42" customHeight="1">
      <c r="A50" s="26" t="inlineStr">
        <is>
          <t>• Eval maintenance</t>
        </is>
      </c>
      <c r="B50" s="12" t="inlineStr">
        <is>
          <t>engineer days per month</t>
        </is>
      </c>
      <c r="C50" s="12" t="inlineStr">
        <is>
          <t>Engineering days a month spent adding cases to the eval set and fixing the ones that go stale.</t>
        </is>
      </c>
      <c r="D50" s="20" t="n"/>
      <c r="E50" s="20" t="n"/>
      <c r="F50" s="20" t="n"/>
      <c r="G50" s="20" t="n"/>
    </row>
    <row r="51" ht="42" customHeight="1">
      <c r="A51" s="26" t="inlineStr">
        <is>
          <t>• Model-version re-qualification</t>
        </is>
      </c>
      <c r="B51" s="12" t="inlineStr">
        <is>
          <t>engineer days per year</t>
        </is>
      </c>
      <c r="C51" s="12" t="inlineStr">
        <is>
          <t>Engineering days a YEAR spent re-running the eval set after a model or SDK update. Spread across the months by the model. Count every update the provider ships.</t>
        </is>
      </c>
      <c r="D51" s="20" t="n"/>
      <c r="E51" s="20" t="n"/>
      <c r="F51" s="20" t="n"/>
      <c r="G51" s="20" t="n"/>
    </row>
    <row r="52" ht="42" customHeight="1">
      <c r="A52" s="26" t="inlineStr">
        <is>
          <t>• Prompt and regression testing</t>
        </is>
      </c>
      <c r="B52" s="12" t="inlineStr">
        <is>
          <t>engineer days per month</t>
        </is>
      </c>
      <c r="C52" s="12" t="inlineStr">
        <is>
          <t>Engineering days a month spent checking that a prompt change did not break something that used to work.</t>
        </is>
      </c>
      <c r="D52" s="20" t="n"/>
      <c r="E52" s="20" t="n"/>
      <c r="F52" s="20" t="n"/>
      <c r="G52" s="20" t="n"/>
    </row>
    <row r="53" ht="42" customHeight="1">
      <c r="A53" s="26" t="inlineStr">
        <is>
          <t>• Incident and on-call load</t>
        </is>
      </c>
      <c r="B53" s="12" t="inlineStr">
        <is>
          <t>engineer days per month</t>
        </is>
      </c>
      <c r="C53" s="12" t="inlineStr">
        <is>
          <t>Engineering days a month on incidents caused by the system. Take it from the on-call log.</t>
        </is>
      </c>
      <c r="D53" s="20" t="n"/>
      <c r="E53" s="20" t="n"/>
      <c r="F53" s="20" t="n"/>
      <c r="G53" s="20" t="n"/>
    </row>
    <row r="54" ht="30" customHeight="1">
      <c r="A54" s="21" t="inlineStr">
        <is>
          <t>Upkeep cost per month</t>
        </is>
      </c>
      <c r="B54" s="22" t="inlineStr">
        <is>
          <t>worked out</t>
        </is>
      </c>
      <c r="C54" s="23" t="inlineStr">
        <is>
          <t>Tooling, plus every engineering day above at the day rate, with the yearly line divided by twelve.</t>
        </is>
      </c>
      <c r="D54" s="24">
        <f>D49+(D50+D51/12+D52+D53)*$D$19</f>
        <v/>
      </c>
      <c r="E54" s="24">
        <f>E49+(E50+E51/12+E52+E53)*$D$19</f>
        <v/>
      </c>
      <c r="F54" s="24">
        <f>F49+(F50+F51/12+F52+F53)*$D$19</f>
        <v/>
      </c>
      <c r="G54" s="24">
        <f>G49+(G50+G51/12+G52+G53)*$D$19</f>
        <v/>
      </c>
    </row>
    <row r="55">
      <c r="A55" s="1" t="n"/>
      <c r="B55" s="1" t="n"/>
      <c r="C55" s="1" t="n"/>
      <c r="D55" s="1" t="n"/>
      <c r="E55" s="1" t="n"/>
      <c r="F55" s="1" t="n"/>
      <c r="G55" s="1" t="n"/>
    </row>
    <row r="56" ht="20" customHeight="1">
      <c r="A56" s="17" t="inlineStr">
        <is>
          <t>7  Quality</t>
        </is>
      </c>
      <c r="B56" s="18" t="n"/>
      <c r="C56" s="19" t="inlineStr">
        <is>
          <t>How often does each option produce an outcome you would accept?</t>
        </is>
      </c>
      <c r="D56" s="18" t="n"/>
      <c r="E56" s="18" t="n"/>
      <c r="F56" s="18" t="n"/>
      <c r="G56" s="18" t="n"/>
    </row>
    <row r="57" ht="42" customHeight="1">
      <c r="A57" s="5" t="inlineStr">
        <is>
          <t>Acceptable-outcome rate</t>
        </is>
      </c>
      <c r="B57" s="12" t="inlineStr">
        <is>
          <t>%</t>
        </is>
      </c>
      <c r="C57" s="12" t="inlineStr">
        <is>
          <t>The share of cases that meet the written definition with no rework. Measure it on the same set of cases for all four options.</t>
        </is>
      </c>
      <c r="D57" s="20" t="n"/>
      <c r="E57" s="20" t="n"/>
      <c r="F57" s="20" t="n"/>
      <c r="G57" s="20" t="n"/>
    </row>
    <row r="58" ht="30" customHeight="1">
      <c r="A58" s="21" t="inlineStr">
        <is>
          <t>Acceptable outcomes in the period</t>
        </is>
      </c>
      <c r="B58" s="22" t="inlineStr">
        <is>
          <t>worked out</t>
        </is>
      </c>
      <c r="C58" s="23" t="inlineStr">
        <is>
          <t>Total cases, times the acceptable-outcome rate.</t>
        </is>
      </c>
      <c r="D58" s="24">
        <f>$D$15*D57/100</f>
        <v/>
      </c>
      <c r="E58" s="24">
        <f>$D$15*E57/100</f>
        <v/>
      </c>
      <c r="F58" s="24">
        <f>$D$15*F57/100</f>
        <v/>
      </c>
      <c r="G58" s="24">
        <f>$D$15*G57/100</f>
        <v/>
      </c>
    </row>
    <row r="59">
      <c r="A59" s="1" t="n"/>
      <c r="B59" s="1" t="n"/>
      <c r="C59" s="1" t="n"/>
      <c r="D59" s="1" t="n"/>
      <c r="E59" s="1" t="n"/>
      <c r="F59" s="1" t="n"/>
      <c r="G59" s="1" t="n"/>
    </row>
    <row r="60">
      <c r="A60" s="17" t="inlineStr">
        <is>
          <t>Totals</t>
        </is>
      </c>
      <c r="B60" s="18" t="n"/>
      <c r="C60" s="19" t="inlineStr">
        <is>
          <t>Every option on the same cases. The number to argue about is cost per acceptable outcome.</t>
        </is>
      </c>
      <c r="D60" s="18" t="n"/>
      <c r="E60" s="18" t="n"/>
      <c r="F60" s="18" t="n"/>
      <c r="G60" s="18" t="n"/>
    </row>
    <row r="61" ht="30" customHeight="1">
      <c r="A61" s="21" t="inlineStr">
        <is>
          <t>Run cost per month</t>
        </is>
      </c>
      <c r="B61" s="22" t="inlineStr">
        <is>
          <t>worked out</t>
        </is>
      </c>
      <c r="C61" s="23" t="inlineStr">
        <is>
          <t>Model, tools, review, escalation, declined cases and upkeep, added up.</t>
        </is>
      </c>
      <c r="D61" s="24">
        <f>D34+D35+D44+D45+D46+D54</f>
        <v/>
      </c>
      <c r="E61" s="24">
        <f>E34+E35+E44+E45+E46+E54</f>
        <v/>
      </c>
      <c r="F61" s="24">
        <f>F34+F35+F44+F45+F46+F54</f>
        <v/>
      </c>
      <c r="G61" s="24">
        <f>G34+G35+G44+G45+G46+G54</f>
        <v/>
      </c>
    </row>
    <row r="62" ht="30" customHeight="1">
      <c r="A62" s="21" t="inlineStr">
        <is>
          <t>Run cost for the period</t>
        </is>
      </c>
      <c r="B62" s="22" t="inlineStr">
        <is>
          <t>worked out</t>
        </is>
      </c>
      <c r="C62" s="23" t="inlineStr">
        <is>
          <t>Run cost per month, times months.</t>
        </is>
      </c>
      <c r="D62" s="24">
        <f>D61*$D$12</f>
        <v/>
      </c>
      <c r="E62" s="24">
        <f>E61*$D$12</f>
        <v/>
      </c>
      <c r="F62" s="24">
        <f>F61*$D$12</f>
        <v/>
      </c>
      <c r="G62" s="24">
        <f>G61*$D$12</f>
        <v/>
      </c>
    </row>
    <row r="63" ht="30" customHeight="1">
      <c r="A63" s="21" t="inlineStr">
        <is>
          <t>Total cost for the period, build plus run</t>
        </is>
      </c>
      <c r="B63" s="22" t="inlineStr">
        <is>
          <t>worked out</t>
        </is>
      </c>
      <c r="C63" s="23" t="inlineStr">
        <is>
          <t>The build, paid once, plus the run cost for the period.</t>
        </is>
      </c>
      <c r="D63" s="24">
        <f>D26+D62</f>
        <v/>
      </c>
      <c r="E63" s="24">
        <f>E26+E62</f>
        <v/>
      </c>
      <c r="F63" s="24">
        <f>F26+F62</f>
        <v/>
      </c>
      <c r="G63" s="24">
        <f>G26+G62</f>
        <v/>
      </c>
    </row>
    <row r="64" ht="30" customHeight="1">
      <c r="A64" s="21" t="inlineStr">
        <is>
          <t>Cost per case</t>
        </is>
      </c>
      <c r="B64" s="22" t="inlineStr">
        <is>
          <t>worked out</t>
        </is>
      </c>
      <c r="C64" s="23" t="inlineStr">
        <is>
          <t>Total cost divided by total cases. The wrong number to argue about on its own.</t>
        </is>
      </c>
      <c r="D64" s="27">
        <f>IFERROR(D63/$D$15,"")</f>
        <v/>
      </c>
      <c r="E64" s="27">
        <f>IFERROR(E63/$D$15,"")</f>
        <v/>
      </c>
      <c r="F64" s="27">
        <f>IFERROR(F63/$D$15,"")</f>
        <v/>
      </c>
      <c r="G64" s="27">
        <f>IFERROR(G63/$D$15,"")</f>
        <v/>
      </c>
    </row>
    <row r="65" ht="30" customHeight="1">
      <c r="A65" s="21" t="inlineStr">
        <is>
          <t>Cost per acceptable outcome</t>
        </is>
      </c>
      <c r="B65" s="22" t="inlineStr">
        <is>
          <t>worked out</t>
        </is>
      </c>
      <c r="C65" s="23" t="inlineStr">
        <is>
          <t>Total cost divided by acceptable outcomes. The number to argue about.</t>
        </is>
      </c>
      <c r="D65" s="27">
        <f>IFERROR(D63/D58,"n/a")</f>
        <v/>
      </c>
      <c r="E65" s="27">
        <f>IFERROR(E63/E58,"n/a")</f>
        <v/>
      </c>
      <c r="F65" s="27">
        <f>IFERROR(F63/F58,"n/a")</f>
        <v/>
      </c>
      <c r="G65" s="27">
        <f>IFERROR(G63/G58,"n/a")</f>
        <v/>
      </c>
    </row>
    <row r="66" ht="30" customHeight="1">
      <c r="A66" s="21" t="inlineStr">
        <is>
          <t>Net position against the manual baseline</t>
        </is>
      </c>
      <c r="B66" s="22" t="inlineStr">
        <is>
          <t>worked out</t>
        </is>
      </c>
      <c r="C66" s="23" t="inlineStr">
        <is>
          <t>Manual baseline minus total cost. Positive means the option saves money over the period.</t>
        </is>
      </c>
      <c r="D66" s="24">
        <f>$D$16-D63</f>
        <v/>
      </c>
      <c r="E66" s="24">
        <f>$D$16-E63</f>
        <v/>
      </c>
      <c r="F66" s="24">
        <f>$D$16-F63</f>
        <v/>
      </c>
      <c r="G66" s="24">
        <f>$D$16-G63</f>
        <v/>
      </c>
    </row>
    <row r="67" ht="30" customHeight="1">
      <c r="A67" s="21" t="inlineStr">
        <is>
          <t>Months to break even on the build</t>
        </is>
      </c>
      <c r="B67" s="22" t="inlineStr">
        <is>
          <t>worked out</t>
        </is>
      </c>
      <c r="C67" s="23" t="inlineStr">
        <is>
          <t>Build cost divided by the monthly saving against doing it by hand. "Never" means the option costs more to run each month than the manual process.</t>
        </is>
      </c>
      <c r="D67" s="28">
        <f>IFERROR(IF(($D$16/$D$12-D61)&lt;=0,"never",D26/($D$16/$D$12-D61)),"")</f>
        <v/>
      </c>
      <c r="E67" s="28">
        <f>IFERROR(IF(($D$16/$D$12-E61)&lt;=0,"never",E26/($D$16/$D$12-E61)),"")</f>
        <v/>
      </c>
      <c r="F67" s="28">
        <f>IFERROR(IF(($D$16/$D$12-F61)&lt;=0,"never",F26/($D$16/$D$12-F61)),"")</f>
        <v/>
      </c>
      <c r="G67" s="28">
        <f>IFERROR(IF(($D$16/$D$12-G61)&lt;=0,"never",G26/($D$16/$D$12-G61)),"")</f>
        <v/>
      </c>
    </row>
    <row r="68" ht="30" customHeight="1">
      <c r="A68" s="21" t="inlineStr">
        <is>
          <t>Cost per acceptable outcome, options that save money</t>
        </is>
      </c>
      <c r="B68" s="22" t="inlineStr">
        <is>
          <t>worked out</t>
        </is>
      </c>
      <c r="C68" s="23" t="inlineStr">
        <is>
          <t>Blank for an option that costs more over the period than doing it by hand.</t>
        </is>
      </c>
      <c r="D68" s="27">
        <f>IF(D66&gt;0,D65,"")</f>
        <v/>
      </c>
      <c r="E68" s="27">
        <f>IF(E66&gt;0,E65,"")</f>
        <v/>
      </c>
      <c r="F68" s="27">
        <f>IF(F66&gt;0,F65,"")</f>
        <v/>
      </c>
      <c r="G68" s="27">
        <f>IF(G66&gt;0,G65,"")</f>
        <v/>
      </c>
    </row>
    <row r="69" ht="30" customHeight="1">
      <c r="A69" s="21" t="inlineStr">
        <is>
          <t>Leading option</t>
        </is>
      </c>
      <c r="B69" s="22" t="inlineStr">
        <is>
          <t>worked out</t>
        </is>
      </c>
      <c r="C69" s="23" t="inlineStr">
        <is>
          <t>The option with the lowest cost per acceptable outcome among those that save money. The rubric on the Read me sheet says what to do with each answer.</t>
        </is>
      </c>
      <c r="D69" s="29">
        <f>IFERROR(INDEX($D$7:$G$7,MATCH(MIN(D68:G68),D68:G68,0)),"Nothing here beats doing it by hand")</f>
        <v/>
      </c>
      <c r="E69" s="25" t="n"/>
      <c r="F69" s="25" t="n"/>
      <c r="G69" s="25" t="n"/>
    </row>
    <row r="70">
      <c r="A70" s="1" t="n"/>
      <c r="B70" s="1" t="n"/>
      <c r="C70" s="1" t="n"/>
      <c r="D70" s="1" t="n"/>
      <c r="E70" s="1" t="n"/>
      <c r="F70" s="1" t="n"/>
      <c r="G70" s="1" t="n"/>
    </row>
    <row r="71">
      <c r="A71" s="1" t="n"/>
      <c r="B71" s="1" t="n"/>
      <c r="C71" s="1" t="n"/>
      <c r="D71" s="1" t="n"/>
      <c r="E71" s="1" t="n"/>
      <c r="F71" s="1" t="n"/>
      <c r="G71" s="1" t="n"/>
    </row>
  </sheetData>
  <mergeCells count="1">
    <mergeCell ref="A5:G5"/>
  </mergeCells>
  <printOptions horizontalCentered="1"/>
  <pageMargins left="0.75" right="0.75" top="1" bottom="1" header="0.5" footer="0.5"/>
  <pageSetup orientation="landscape" paperSize="9" fitToHeight="0" fitToWidth="1"/>
  <drawing xmlns:r="http://schemas.openxmlformats.org/officeDocument/2006/relationships" r:id="rId1"/>
</worksheet>
</file>

<file path=xl/worksheets/sheet3.xml><?xml version="1.0" encoding="utf-8"?>
<worksheet xmlns="http://schemas.openxmlformats.org/spreadsheetml/2006/main">
  <sheetPr>
    <tabColor rgb="00183D32"/>
    <outlinePr summaryBelow="1" summaryRight="1"/>
    <pageSetUpPr fitToPage="1"/>
  </sheetPr>
  <dimension ref="A1:G78"/>
  <sheetViews>
    <sheetView showGridLines="0" workbookViewId="0">
      <pane xSplit="3" ySplit="15" topLeftCell="D16" activePane="bottomRight" state="frozen"/>
      <selection pane="topRight"/>
      <selection pane="bottomLeft"/>
      <selection pane="bottomRight" activeCell="A1" sqref="A1"/>
    </sheetView>
  </sheetViews>
  <sheetFormatPr baseColWidth="8" defaultRowHeight="15"/>
  <cols>
    <col width="44" customWidth="1" min="1" max="1"/>
    <col width="20" customWidth="1" min="2" max="2"/>
    <col width="62" customWidth="1" min="3" max="3"/>
    <col width="16" customWidth="1" min="4" max="4"/>
    <col width="16" customWidth="1" min="5" max="5"/>
    <col width="16" customWidth="1" min="6" max="6"/>
    <col width="16" customWidth="1" min="7" max="7"/>
  </cols>
  <sheetData>
    <row r="1" ht="34" customHeight="1">
      <c r="A1" s="1" t="n"/>
      <c r="B1" s="1" t="n"/>
      <c r="C1" s="1" t="n"/>
      <c r="D1" s="1" t="n"/>
      <c r="E1" s="1" t="n"/>
      <c r="F1" s="1" t="n"/>
      <c r="G1" s="1" t="n"/>
    </row>
    <row r="2" ht="34" customHeight="1">
      <c r="A2" s="2" t="inlineStr">
        <is>
          <t>The Run-Cost Model Tool</t>
        </is>
      </c>
      <c r="B2" s="13" t="n"/>
      <c r="C2" s="13" t="n"/>
      <c r="D2" s="13" t="n"/>
      <c r="E2" s="13" t="n"/>
      <c r="F2" s="13" t="n"/>
      <c r="G2" s="13" t="n"/>
    </row>
    <row r="3" ht="18" customHeight="1">
      <c r="A3" s="3" t="inlineStr">
        <is>
          <t>Four ways to do the same job, costed over one period  ·  Built by Sunil Mathew, co-authored with Claude</t>
        </is>
      </c>
      <c r="B3" s="1" t="n"/>
      <c r="C3" s="1" t="n"/>
      <c r="D3" s="1" t="n"/>
      <c r="E3" s="1" t="n"/>
      <c r="F3" s="1" t="n"/>
      <c r="G3" s="1" t="n"/>
    </row>
    <row r="4">
      <c r="A4" s="1" t="n"/>
      <c r="B4" s="1" t="n"/>
      <c r="C4" s="1" t="n"/>
      <c r="D4" s="1" t="n"/>
      <c r="E4" s="1" t="n"/>
      <c r="F4" s="1" t="n"/>
      <c r="G4" s="1" t="n"/>
    </row>
    <row r="5">
      <c r="A5" s="30" t="inlineStr">
        <is>
          <t>An ordering agent across 40 sites</t>
        </is>
      </c>
      <c r="B5" s="1" t="n"/>
      <c r="C5" s="1" t="n"/>
      <c r="D5" s="1" t="n"/>
      <c r="E5" s="1" t="n"/>
      <c r="F5" s="1" t="n"/>
      <c r="G5" s="1" t="n"/>
    </row>
    <row r="6" ht="30" customHeight="1">
      <c r="A6" s="8" t="inlineStr">
        <is>
          <t>A retailer in India raises about 2,000 purchase orders a month across 40 sites. Each one takes a buyer 25 minutes by hand.</t>
        </is>
      </c>
      <c r="B6" s="1" t="n"/>
      <c r="C6" s="1" t="n"/>
      <c r="D6" s="1" t="n"/>
      <c r="E6" s="1" t="n"/>
      <c r="F6" s="1" t="n"/>
      <c r="G6" s="1" t="n"/>
    </row>
    <row r="7" ht="30" customHeight="1">
      <c r="A7" s="8" t="inlineStr">
        <is>
          <t>The team built a full agent that reads the request, checks stock and supplier terms, and places the order. It worked. It ran at ₹3.7L a month against ₹5L for the buyers, and still lost money over the year once the ₹23L build and the upkeep were counted.</t>
        </is>
      </c>
      <c r="B7" s="1" t="n"/>
      <c r="C7" s="1" t="n"/>
      <c r="D7" s="1" t="n"/>
      <c r="E7" s="1" t="n"/>
      <c r="F7" s="1" t="n"/>
      <c r="G7" s="1" t="n"/>
    </row>
    <row r="8" ht="30" customHeight="1">
      <c r="A8" s="8" t="inlineStr">
        <is>
          <t>Building it forced the team to write down every decision rule the buyers had been carrying in their heads. A second rules workflow, rebuilt on that written spec, took 35 engineering days and wins on cost per acceptable outcome.</t>
        </is>
      </c>
      <c r="B8" s="1" t="n"/>
      <c r="C8" s="1" t="n"/>
      <c r="D8" s="1" t="n"/>
      <c r="E8" s="1" t="n"/>
      <c r="F8" s="1" t="n"/>
      <c r="G8" s="1" t="n"/>
    </row>
    <row r="9" ht="30" customHeight="1">
      <c r="A9" s="8" t="inlineStr">
        <is>
          <t>Cost per case picks the original rules workflow. Cost per acceptable outcome picks the rebuilt one. That gap is the whole reason the second number exists.</t>
        </is>
      </c>
      <c r="B9" s="1" t="n"/>
      <c r="C9" s="1" t="n"/>
      <c r="D9" s="1" t="n"/>
      <c r="E9" s="1" t="n"/>
      <c r="F9" s="1" t="n"/>
      <c r="G9" s="1" t="n"/>
    </row>
    <row r="10" ht="30" customHeight="1">
      <c r="A10" s="8" t="inlineStr">
        <is>
          <t>Every figure is in Indian rupees at Indian rates. If you work elsewhere, change the four rates in sections 1 and 2 first. The shape of the comparison holds; the absolute numbers will not.</t>
        </is>
      </c>
      <c r="B10" s="1" t="n"/>
      <c r="C10" s="1" t="n"/>
      <c r="D10" s="1" t="n"/>
      <c r="E10" s="1" t="n"/>
      <c r="F10" s="1" t="n"/>
      <c r="G10" s="1" t="n"/>
    </row>
    <row r="11">
      <c r="A11" s="1" t="n"/>
      <c r="B11" s="1" t="n"/>
      <c r="C11" s="1" t="n"/>
      <c r="D11" s="1" t="n"/>
      <c r="E11" s="1" t="n"/>
      <c r="F11" s="1" t="n"/>
      <c r="G11" s="1" t="n"/>
    </row>
    <row r="12" ht="30" customHeight="1">
      <c r="A12" s="5" t="inlineStr">
        <is>
          <t>Fill the sand-coloured cells. Column C says what to type and where the number comes from. Pale green rows are worked out for you; do not type into them. Percent lines take a percentage: 12 means 12%.</t>
        </is>
      </c>
      <c r="B12" s="1" t="n"/>
      <c r="C12" s="1" t="n"/>
      <c r="D12" s="1" t="n"/>
      <c r="E12" s="1" t="n"/>
      <c r="F12" s="1" t="n"/>
      <c r="G12" s="1" t="n"/>
    </row>
    <row r="13">
      <c r="A13" s="1" t="n"/>
      <c r="B13" s="1" t="n"/>
      <c r="C13" s="1" t="n"/>
      <c r="D13" s="1" t="n"/>
      <c r="E13" s="1" t="n"/>
      <c r="F13" s="1" t="n"/>
      <c r="G13" s="1" t="n"/>
    </row>
    <row r="14">
      <c r="A14" s="14" t="inlineStr">
        <is>
          <t>Line</t>
        </is>
      </c>
      <c r="B14" s="14" t="inlineStr">
        <is>
          <t>Unit</t>
        </is>
      </c>
      <c r="C14" s="14" t="inlineStr">
        <is>
          <t>What to type</t>
        </is>
      </c>
      <c r="D14" s="15" t="inlineStr">
        <is>
          <t>Rules</t>
        </is>
      </c>
      <c r="E14" s="15" t="inlineStr">
        <is>
          <t>Rules v2</t>
        </is>
      </c>
      <c r="F14" s="15" t="inlineStr">
        <is>
          <t>Assisted</t>
        </is>
      </c>
      <c r="G14" s="15" t="inlineStr">
        <is>
          <t>Agent</t>
        </is>
      </c>
    </row>
    <row r="15" ht="26" customHeight="1">
      <c r="A15" s="1" t="n"/>
      <c r="B15" s="1" t="n"/>
      <c r="C15" s="1" t="n"/>
      <c r="D15" s="16" t="inlineStr">
        <is>
          <t>Plain code, from the rules the team already knew.</t>
        </is>
      </c>
      <c r="E15" s="16" t="inlineStr">
        <is>
          <t>Plain code again, rebuilt on every rule the agent build forced you to write down.</t>
        </is>
      </c>
      <c r="F15" s="16" t="inlineStr">
        <is>
          <t>Model drafts. A person approves each one.</t>
        </is>
      </c>
      <c r="G15" s="16" t="inlineStr">
        <is>
          <t>Model plans, calls tools, acts.</t>
        </is>
      </c>
    </row>
    <row r="16" ht="20" customHeight="1">
      <c r="A16" s="17" t="inlineStr">
        <is>
          <t>1  Workload and manual baseline</t>
        </is>
      </c>
      <c r="B16" s="18" t="n"/>
      <c r="C16" s="19" t="inlineStr">
        <is>
          <t>What does this work cost today, done by hand?</t>
        </is>
      </c>
      <c r="D16" s="18" t="n"/>
      <c r="E16" s="18" t="n"/>
      <c r="F16" s="18" t="n"/>
      <c r="G16" s="18" t="n"/>
    </row>
    <row r="17" ht="30" customHeight="1">
      <c r="A17" s="5" t="inlineStr">
        <is>
          <t>Currency label</t>
        </is>
      </c>
      <c r="B17" s="3" t="inlineStr">
        <is>
          <t>free text</t>
        </is>
      </c>
      <c r="C17" s="12" t="inlineStr">
        <is>
          <t>Such as INR or USD. A label only; the formulas do not read it.</t>
        </is>
      </c>
      <c r="D17" s="6" t="inlineStr">
        <is>
          <t>INR</t>
        </is>
      </c>
      <c r="E17" s="1" t="n"/>
      <c r="F17" s="1" t="n"/>
      <c r="G17" s="1" t="n"/>
    </row>
    <row r="18" ht="42" customHeight="1">
      <c r="A18" s="5" t="inlineStr">
        <is>
          <t>Cases per month</t>
        </is>
      </c>
      <c r="B18" s="12" t="inlineStr">
        <is>
          <t>count</t>
        </is>
      </c>
      <c r="C18" s="12" t="inlineStr">
        <is>
          <t>One case is one unit of work: a purchase order, a ticket, a refund request. Take the count from last quarter, not from the plan.</t>
        </is>
      </c>
      <c r="D18" s="20" t="n">
        <v>2000</v>
      </c>
      <c r="E18" s="1" t="n"/>
      <c r="F18" s="1" t="n"/>
      <c r="G18" s="1" t="n"/>
    </row>
    <row r="19" ht="42" customHeight="1">
      <c r="A19" s="5" t="inlineStr">
        <is>
          <t>Months in the period</t>
        </is>
      </c>
      <c r="B19" s="12" t="inlineStr">
        <is>
          <t>months</t>
        </is>
      </c>
      <c r="C19" s="12" t="inlineStr">
        <is>
          <t>The window the build has to pay for itself. Twelve is the usual budget horizon. Make it longer only if you can defend the longer horizon in the room.</t>
        </is>
      </c>
      <c r="D19" s="20" t="n">
        <v>12</v>
      </c>
      <c r="E19" s="1" t="n"/>
      <c r="F19" s="1" t="n"/>
      <c r="G19" s="1" t="n"/>
    </row>
    <row r="20" ht="42" customHeight="1">
      <c r="A20" s="5" t="inlineStr">
        <is>
          <t>Minutes per case, by hand</t>
        </is>
      </c>
      <c r="B20" s="12" t="inlineStr">
        <is>
          <t>minutes</t>
        </is>
      </c>
      <c r="C20" s="12" t="inlineStr">
        <is>
          <t>How long one person takes to finish one case today. Time it on ten real cases.</t>
        </is>
      </c>
      <c r="D20" s="20" t="n">
        <v>25</v>
      </c>
      <c r="E20" s="1" t="n"/>
      <c r="F20" s="1" t="n"/>
      <c r="G20" s="1" t="n"/>
    </row>
    <row r="21" ht="42" customHeight="1">
      <c r="A21" s="5" t="inlineStr">
        <is>
          <t>Cost per hour of the person doing it by hand</t>
        </is>
      </c>
      <c r="B21" s="12" t="inlineStr">
        <is>
          <t>currency per hour</t>
        </is>
      </c>
      <c r="C21" s="12" t="inlineStr">
        <is>
          <t>Fully loaded: salary, benefits, seat. Use the rate of the people who actually do the work today.</t>
        </is>
      </c>
      <c r="D21" s="20" t="n">
        <v>600</v>
      </c>
      <c r="E21" s="1" t="n"/>
      <c r="F21" s="1" t="n"/>
      <c r="G21" s="1" t="n"/>
    </row>
    <row r="22" ht="30" customHeight="1">
      <c r="A22" s="21" t="inlineStr">
        <is>
          <t>Total cases in the period</t>
        </is>
      </c>
      <c r="B22" s="22" t="inlineStr">
        <is>
          <t>worked out</t>
        </is>
      </c>
      <c r="C22" s="23" t="inlineStr">
        <is>
          <t>Cases per month multiplied by months.</t>
        </is>
      </c>
      <c r="D22" s="24">
        <f>$D$18*$D$19</f>
        <v/>
      </c>
      <c r="E22" s="25" t="n"/>
      <c r="F22" s="25" t="n"/>
      <c r="G22" s="25" t="n"/>
    </row>
    <row r="23" ht="30" customHeight="1">
      <c r="A23" s="21" t="inlineStr">
        <is>
          <t>Manual baseline cost for the period</t>
        </is>
      </c>
      <c r="B23" s="22" t="inlineStr">
        <is>
          <t>worked out</t>
        </is>
      </c>
      <c r="C23" s="23" t="inlineStr">
        <is>
          <t>Total cases, times minutes per case, times the hourly rate. This is the number every option has to beat.</t>
        </is>
      </c>
      <c r="D23" s="24">
        <f>$D$22*$D$20/60*$D$21</f>
        <v/>
      </c>
      <c r="E23" s="25" t="n"/>
      <c r="F23" s="25" t="n"/>
      <c r="G23" s="25" t="n"/>
    </row>
    <row r="24">
      <c r="A24" s="1" t="n"/>
      <c r="B24" s="1" t="n"/>
      <c r="C24" s="1" t="n"/>
      <c r="D24" s="1" t="n"/>
      <c r="E24" s="1" t="n"/>
      <c r="F24" s="1" t="n"/>
      <c r="G24" s="1" t="n"/>
    </row>
    <row r="25" ht="20" customHeight="1">
      <c r="A25" s="17" t="inlineStr">
        <is>
          <t>2  Team rates</t>
        </is>
      </c>
      <c r="B25" s="18" t="n"/>
      <c r="C25" s="19" t="inlineStr">
        <is>
          <t>What does an hour of each person cost?</t>
        </is>
      </c>
      <c r="D25" s="18" t="n"/>
      <c r="E25" s="18" t="n"/>
      <c r="F25" s="18" t="n"/>
      <c r="G25" s="18" t="n"/>
    </row>
    <row r="26" ht="42" customHeight="1">
      <c r="A26" s="5" t="inlineStr">
        <is>
          <t>Engineering day rate</t>
        </is>
      </c>
      <c r="B26" s="12" t="inlineStr">
        <is>
          <t>currency per day</t>
        </is>
      </c>
      <c r="C26" s="12" t="inlineStr">
        <is>
          <t>What one engineer-day costs you. Used for the build and for upkeep.</t>
        </is>
      </c>
      <c r="D26" s="20" t="n">
        <v>20000</v>
      </c>
      <c r="E26" s="1" t="n"/>
      <c r="F26" s="1" t="n"/>
      <c r="G26" s="1" t="n"/>
    </row>
    <row r="27" ht="42" customHeight="1">
      <c r="A27" s="5" t="inlineStr">
        <is>
          <t>Engineer cost per hour</t>
        </is>
      </c>
      <c r="B27" s="12" t="inlineStr">
        <is>
          <t>currency per hour</t>
        </is>
      </c>
      <c r="C27" s="12" t="inlineStr">
        <is>
          <t>Used for escalations: the cases an engineer has to look at.</t>
        </is>
      </c>
      <c r="D27" s="20" t="n">
        <v>2500</v>
      </c>
      <c r="E27" s="1" t="n"/>
      <c r="F27" s="1" t="n"/>
      <c r="G27" s="1" t="n"/>
    </row>
    <row r="28" ht="42" customHeight="1">
      <c r="A28" s="5" t="inlineStr">
        <is>
          <t>Reviewer cost per hour</t>
        </is>
      </c>
      <c r="B28" s="12" t="inlineStr">
        <is>
          <t>currency per hour</t>
        </is>
      </c>
      <c r="C28" s="12" t="inlineStr">
        <is>
          <t>Used for reviewing output and for finishing declined cases by hand. Often the same rate as the manual baseline.</t>
        </is>
      </c>
      <c r="D28" s="20" t="n">
        <v>600</v>
      </c>
      <c r="E28" s="1" t="n"/>
      <c r="F28" s="1" t="n"/>
      <c r="G28" s="1" t="n"/>
    </row>
    <row r="29">
      <c r="A29" s="1" t="n"/>
      <c r="B29" s="1" t="n"/>
      <c r="C29" s="1" t="n"/>
      <c r="D29" s="1" t="n"/>
      <c r="E29" s="1" t="n"/>
      <c r="F29" s="1" t="n"/>
      <c r="G29" s="1" t="n"/>
    </row>
    <row r="30" ht="20" customHeight="1">
      <c r="A30" s="17" t="inlineStr">
        <is>
          <t>3  Build cost, paid once</t>
        </is>
      </c>
      <c r="B30" s="18" t="n"/>
      <c r="C30" s="19" t="inlineStr">
        <is>
          <t>What does each option cost before it handles its first case?</t>
        </is>
      </c>
      <c r="D30" s="18" t="n"/>
      <c r="E30" s="18" t="n"/>
      <c r="F30" s="18" t="n"/>
      <c r="G30" s="18" t="n"/>
    </row>
    <row r="31" ht="42" customHeight="1">
      <c r="A31" s="5" t="inlineStr">
        <is>
          <t>Engineering days to build</t>
        </is>
      </c>
      <c r="B31" s="12" t="inlineStr">
        <is>
          <t>days</t>
        </is>
      </c>
      <c r="C31" s="12" t="inlineStr">
        <is>
          <t>From the first line of code to a system that handles real cases. Include integration with the tools it calls.</t>
        </is>
      </c>
      <c r="D31" s="20" t="n">
        <v>25</v>
      </c>
      <c r="E31" s="20" t="n">
        <v>35</v>
      </c>
      <c r="F31" s="20" t="n">
        <v>45</v>
      </c>
      <c r="G31" s="20" t="n">
        <v>95</v>
      </c>
    </row>
    <row r="32" ht="42" customHeight="1">
      <c r="A32" s="5" t="inlineStr">
        <is>
          <t>Engineering days for evals and a test set</t>
        </is>
      </c>
      <c r="B32" s="12" t="inlineStr">
        <is>
          <t>days</t>
        </is>
      </c>
      <c r="C32" s="12" t="inlineStr">
        <is>
          <t>An eval is a set of real cases with known-correct answers that the system is scored against. Building one is engineering time.</t>
        </is>
      </c>
      <c r="D32" s="20" t="n">
        <v>0</v>
      </c>
      <c r="E32" s="20" t="n">
        <v>0</v>
      </c>
      <c r="F32" s="20" t="n">
        <v>6</v>
      </c>
      <c r="G32" s="20" t="n">
        <v>22</v>
      </c>
    </row>
    <row r="33" ht="30" customHeight="1">
      <c r="A33" s="21" t="inlineStr">
        <is>
          <t>Total build cost</t>
        </is>
      </c>
      <c r="B33" s="22" t="inlineStr">
        <is>
          <t>worked out</t>
        </is>
      </c>
      <c r="C33" s="23" t="inlineStr">
        <is>
          <t>Build days plus eval days, times the engineering day rate.</t>
        </is>
      </c>
      <c r="D33" s="24">
        <f>(D31+D32)*$D$26</f>
        <v/>
      </c>
      <c r="E33" s="24">
        <f>(E31+E32)*$D$26</f>
        <v/>
      </c>
      <c r="F33" s="24">
        <f>(F31+F32)*$D$26</f>
        <v/>
      </c>
      <c r="G33" s="24">
        <f>(G31+G32)*$D$26</f>
        <v/>
      </c>
    </row>
    <row r="34">
      <c r="A34" s="1" t="n"/>
      <c r="B34" s="1" t="n"/>
      <c r="C34" s="1" t="n"/>
      <c r="D34" s="1" t="n"/>
      <c r="E34" s="1" t="n"/>
      <c r="F34" s="1" t="n"/>
      <c r="G34" s="1" t="n"/>
    </row>
    <row r="35" ht="20" customHeight="1">
      <c r="A35" s="17" t="inlineStr">
        <is>
          <t>4  Inference and tool calls, per month</t>
        </is>
      </c>
      <c r="B35" s="18" t="n"/>
      <c r="C35" s="19" t="inlineStr">
        <is>
          <t>What does the model bill actually include?</t>
        </is>
      </c>
      <c r="D35" s="18" t="n"/>
      <c r="E35" s="18" t="n"/>
      <c r="F35" s="18" t="n"/>
      <c r="G35" s="18" t="n"/>
    </row>
    <row r="36" ht="42" customHeight="1">
      <c r="A36" s="5" t="inlineStr">
        <is>
          <t>Model calls per case, successful</t>
        </is>
      </c>
      <c r="B36" s="12" t="inlineStr">
        <is>
          <t>calls per case</t>
        </is>
      </c>
      <c r="C36" s="12" t="inlineStr">
        <is>
          <t>How many times a case calls the model when everything works. An agent that plans, then acts, then checks its work makes several.</t>
        </is>
      </c>
      <c r="D36" s="20" t="n">
        <v>0</v>
      </c>
      <c r="E36" s="20" t="n">
        <v>0</v>
      </c>
      <c r="F36" s="20" t="n">
        <v>1.2</v>
      </c>
      <c r="G36" s="20" t="n">
        <v>6</v>
      </c>
    </row>
    <row r="37" ht="42" customHeight="1">
      <c r="A37" s="26" t="inlineStr">
        <is>
          <t>• Retry and failure multiplier</t>
        </is>
      </c>
      <c r="B37" s="12" t="inlineStr">
        <is>
          <t>multiplier, 1.0 = no retries</t>
        </is>
      </c>
      <c r="C37" s="12" t="inlineStr">
        <is>
          <t>Total model calls divided by successful ones. Count timeouts, tool errors and loops that re-enter, not only refusals. 1.0 means the system never retries, which no real system does.</t>
        </is>
      </c>
      <c r="D37" s="20" t="n">
        <v>1</v>
      </c>
      <c r="E37" s="20" t="n">
        <v>1</v>
      </c>
      <c r="F37" s="20" t="n">
        <v>1.15</v>
      </c>
      <c r="G37" s="20" t="n">
        <v>1.35</v>
      </c>
    </row>
    <row r="38" ht="42" customHeight="1">
      <c r="A38" s="5" t="inlineStr">
        <is>
          <t>Cost per model call</t>
        </is>
      </c>
      <c r="B38" s="12" t="inlineStr">
        <is>
          <t>currency</t>
        </is>
      </c>
      <c r="C38" s="12" t="inlineStr">
        <is>
          <t>Average cost of one call, including the input tokens. Take it from a month of real invoices, not from the price list.</t>
        </is>
      </c>
      <c r="D38" s="20" t="n">
        <v>0</v>
      </c>
      <c r="E38" s="20" t="n">
        <v>0</v>
      </c>
      <c r="F38" s="20" t="n">
        <v>1.8</v>
      </c>
      <c r="G38" s="20" t="n">
        <v>2.5</v>
      </c>
    </row>
    <row r="39" ht="42" customHeight="1">
      <c r="A39" s="5" t="inlineStr">
        <is>
          <t>Tool and API calls per case</t>
        </is>
      </c>
      <c r="B39" s="12" t="inlineStr">
        <is>
          <t>calls per case</t>
        </is>
      </c>
      <c r="C39" s="12" t="inlineStr">
        <is>
          <t>Lookups, searches, writes to other systems. Anything with a price per call or a rate limit.</t>
        </is>
      </c>
      <c r="D39" s="20" t="n">
        <v>0.2</v>
      </c>
      <c r="E39" s="20" t="n">
        <v>0.2</v>
      </c>
      <c r="F39" s="20" t="n">
        <v>1</v>
      </c>
      <c r="G39" s="20" t="n">
        <v>5</v>
      </c>
    </row>
    <row r="40" ht="42" customHeight="1">
      <c r="A40" s="5" t="inlineStr">
        <is>
          <t>Cost per tool call</t>
        </is>
      </c>
      <c r="B40" s="12" t="inlineStr">
        <is>
          <t>currency</t>
        </is>
      </c>
      <c r="C40" s="12" t="inlineStr">
        <is>
          <t>Average across the tools it calls. Internal calls are not free: price the compute.</t>
        </is>
      </c>
      <c r="D40" s="20" t="n">
        <v>0.5</v>
      </c>
      <c r="E40" s="20" t="n">
        <v>0.5</v>
      </c>
      <c r="F40" s="20" t="n">
        <v>0.5</v>
      </c>
      <c r="G40" s="20" t="n">
        <v>0.5</v>
      </c>
    </row>
    <row r="41" ht="30" customHeight="1">
      <c r="A41" s="21" t="inlineStr">
        <is>
          <t>Model cost per month</t>
        </is>
      </c>
      <c r="B41" s="22" t="inlineStr">
        <is>
          <t>worked out</t>
        </is>
      </c>
      <c r="C41" s="23" t="inlineStr">
        <is>
          <t>Cases per month, times calls per case, times the retry multiplier, times the cost per call.</t>
        </is>
      </c>
      <c r="D41" s="24">
        <f>$D$18*D36*D37*D38</f>
        <v/>
      </c>
      <c r="E41" s="24">
        <f>$D$18*E36*E37*E38</f>
        <v/>
      </c>
      <c r="F41" s="24">
        <f>$D$18*F36*F37*F38</f>
        <v/>
      </c>
      <c r="G41" s="24">
        <f>$D$18*G36*G37*G38</f>
        <v/>
      </c>
    </row>
    <row r="42" ht="30" customHeight="1">
      <c r="A42" s="21" t="inlineStr">
        <is>
          <t>Tool cost per month</t>
        </is>
      </c>
      <c r="B42" s="22" t="inlineStr">
        <is>
          <t>worked out</t>
        </is>
      </c>
      <c r="C42" s="23" t="inlineStr">
        <is>
          <t>Cases per month, times tool calls per case, times the cost per tool call.</t>
        </is>
      </c>
      <c r="D42" s="24">
        <f>$D$18*D39*D40</f>
        <v/>
      </c>
      <c r="E42" s="24">
        <f>$D$18*E39*E40</f>
        <v/>
      </c>
      <c r="F42" s="24">
        <f>$D$18*F39*F40</f>
        <v/>
      </c>
      <c r="G42" s="24">
        <f>$D$18*G39*G40</f>
        <v/>
      </c>
    </row>
    <row r="43">
      <c r="A43" s="1" t="n"/>
      <c r="B43" s="1" t="n"/>
      <c r="C43" s="1" t="n"/>
      <c r="D43" s="1" t="n"/>
      <c r="E43" s="1" t="n"/>
      <c r="F43" s="1" t="n"/>
      <c r="G43" s="1" t="n"/>
    </row>
    <row r="44" ht="20" customHeight="1">
      <c r="A44" s="17" t="inlineStr">
        <is>
          <t>5  Human in the loop, per month</t>
        </is>
      </c>
      <c r="B44" s="18" t="n"/>
      <c r="C44" s="19" t="inlineStr">
        <is>
          <t>How much human time does each option still need?</t>
        </is>
      </c>
      <c r="D44" s="18" t="n"/>
      <c r="E44" s="18" t="n"/>
      <c r="F44" s="18" t="n"/>
      <c r="G44" s="18" t="n"/>
    </row>
    <row r="45" ht="42" customHeight="1">
      <c r="A45" s="5" t="inlineStr">
        <is>
          <t>Share of cases a person reviews</t>
        </is>
      </c>
      <c r="B45" s="12" t="inlineStr">
        <is>
          <t>%</t>
        </is>
      </c>
      <c r="C45" s="12" t="inlineStr">
        <is>
          <t>100 for a model-assisted draft, because a person approves every one. A sample, such as 20, for a full agent.</t>
        </is>
      </c>
      <c r="D45" s="20" t="n">
        <v>12</v>
      </c>
      <c r="E45" s="20" t="n">
        <v>8</v>
      </c>
      <c r="F45" s="20" t="n">
        <v>100</v>
      </c>
      <c r="G45" s="20" t="n">
        <v>20</v>
      </c>
    </row>
    <row r="46" ht="42" customHeight="1">
      <c r="A46" s="26" t="inlineStr">
        <is>
          <t>• Review minutes per reviewed case</t>
        </is>
      </c>
      <c r="B46" s="12" t="inlineStr">
        <is>
          <t>minutes</t>
        </is>
      </c>
      <c r="C46" s="12" t="inlineStr">
        <is>
          <t>Time it on real cases. Approving a good draft is quick; checking an agent that acted on its own is not.</t>
        </is>
      </c>
      <c r="D46" s="20" t="n">
        <v>6</v>
      </c>
      <c r="E46" s="20" t="n">
        <v>6</v>
      </c>
      <c r="F46" s="20" t="n">
        <v>2</v>
      </c>
      <c r="G46" s="20" t="n">
        <v>4</v>
      </c>
    </row>
    <row r="47" ht="42" customHeight="1">
      <c r="A47" s="5" t="inlineStr">
        <is>
          <t>Share of cases escalated to an engineer</t>
        </is>
      </c>
      <c r="B47" s="12" t="inlineStr">
        <is>
          <t>%</t>
        </is>
      </c>
      <c r="C47" s="12" t="inlineStr">
        <is>
          <t>Cases that stop and need somebody who can read the trace. Measure it in a trial. A demo will show you 0.</t>
        </is>
      </c>
      <c r="D47" s="20" t="n">
        <v>1</v>
      </c>
      <c r="E47" s="20" t="n">
        <v>0.8</v>
      </c>
      <c r="F47" s="20" t="n">
        <v>1.5</v>
      </c>
      <c r="G47" s="20" t="n">
        <v>4</v>
      </c>
    </row>
    <row r="48" ht="42" customHeight="1">
      <c r="A48" s="26" t="inlineStr">
        <is>
          <t>• Engineer minutes per escalation</t>
        </is>
      </c>
      <c r="B48" s="12" t="inlineStr">
        <is>
          <t>minutes</t>
        </is>
      </c>
      <c r="C48" s="12" t="inlineStr">
        <is>
          <t>Reading the trace, working out what happened, fixing the case. Longer for an agent, because there is more trace to read.</t>
        </is>
      </c>
      <c r="D48" s="20" t="n">
        <v>20</v>
      </c>
      <c r="E48" s="20" t="n">
        <v>20</v>
      </c>
      <c r="F48" s="20" t="n">
        <v>25</v>
      </c>
      <c r="G48" s="20" t="n">
        <v>35</v>
      </c>
    </row>
    <row r="49" ht="42" customHeight="1">
      <c r="A49" s="26" t="inlineStr">
        <is>
          <t>• Share of cases declined or abandoned</t>
        </is>
      </c>
      <c r="B49" s="12" t="inlineStr">
        <is>
          <t>%</t>
        </is>
      </c>
      <c r="C49" s="12" t="inlineStr">
        <is>
          <t>Cases the system refuses or gives up on. They do not disappear: a person finishes them, at the manual rate.</t>
        </is>
      </c>
      <c r="D49" s="20" t="n">
        <v>8</v>
      </c>
      <c r="E49" s="20" t="n">
        <v>4</v>
      </c>
      <c r="F49" s="20" t="n">
        <v>3</v>
      </c>
      <c r="G49" s="20" t="n">
        <v>2</v>
      </c>
    </row>
    <row r="50" ht="42" customHeight="1">
      <c r="A50" s="5" t="inlineStr">
        <is>
          <t>Manual minutes per declined case</t>
        </is>
      </c>
      <c r="B50" s="12" t="inlineStr">
        <is>
          <t>minutes</t>
        </is>
      </c>
      <c r="C50" s="12" t="inlineStr">
        <is>
          <t>Usually close to the manual baseline, because the person starts from nothing.</t>
        </is>
      </c>
      <c r="D50" s="20" t="n">
        <v>12</v>
      </c>
      <c r="E50" s="20" t="n">
        <v>12</v>
      </c>
      <c r="F50" s="20" t="n">
        <v>12</v>
      </c>
      <c r="G50" s="20" t="n">
        <v>12</v>
      </c>
    </row>
    <row r="51" ht="30" customHeight="1">
      <c r="A51" s="21" t="inlineStr">
        <is>
          <t>Review cost per month</t>
        </is>
      </c>
      <c r="B51" s="22" t="inlineStr">
        <is>
          <t>worked out</t>
        </is>
      </c>
      <c r="C51" s="23" t="inlineStr">
        <is>
          <t>Cases per month, times the share reviewed, times minutes per review, at the reviewer rate.</t>
        </is>
      </c>
      <c r="D51" s="24">
        <f>$D$18*D45/100*D46/60*$D$28</f>
        <v/>
      </c>
      <c r="E51" s="24">
        <f>$D$18*E45/100*E46/60*$D$28</f>
        <v/>
      </c>
      <c r="F51" s="24">
        <f>$D$18*F45/100*F46/60*$D$28</f>
        <v/>
      </c>
      <c r="G51" s="24">
        <f>$D$18*G45/100*G46/60*$D$28</f>
        <v/>
      </c>
    </row>
    <row r="52" ht="30" customHeight="1">
      <c r="A52" s="21" t="inlineStr">
        <is>
          <t>Escalation cost per month</t>
        </is>
      </c>
      <c r="B52" s="22" t="inlineStr">
        <is>
          <t>worked out</t>
        </is>
      </c>
      <c r="C52" s="23" t="inlineStr">
        <is>
          <t>Cases per month, times the share escalated, times minutes per escalation, at the engineer rate.</t>
        </is>
      </c>
      <c r="D52" s="24">
        <f>$D$18*D47/100*D48/60*$D$27</f>
        <v/>
      </c>
      <c r="E52" s="24">
        <f>$D$18*E47/100*E48/60*$D$27</f>
        <v/>
      </c>
      <c r="F52" s="24">
        <f>$D$18*F47/100*F48/60*$D$27</f>
        <v/>
      </c>
      <c r="G52" s="24">
        <f>$D$18*G47/100*G48/60*$D$27</f>
        <v/>
      </c>
    </row>
    <row r="53" ht="30" customHeight="1">
      <c r="A53" s="21" t="inlineStr">
        <is>
          <t>Declined-case cost per month</t>
        </is>
      </c>
      <c r="B53" s="22" t="inlineStr">
        <is>
          <t>worked out</t>
        </is>
      </c>
      <c r="C53" s="23" t="inlineStr">
        <is>
          <t>Cases per month, times the share declined, times manual minutes, at the reviewer rate.</t>
        </is>
      </c>
      <c r="D53" s="24">
        <f>$D$18*D49/100*D50/60*$D$28</f>
        <v/>
      </c>
      <c r="E53" s="24">
        <f>$D$18*E49/100*E50/60*$D$28</f>
        <v/>
      </c>
      <c r="F53" s="24">
        <f>$D$18*F49/100*F50/60*$D$28</f>
        <v/>
      </c>
      <c r="G53" s="24">
        <f>$D$18*G49/100*G50/60*$D$28</f>
        <v/>
      </c>
    </row>
    <row r="54">
      <c r="A54" s="1" t="n"/>
      <c r="B54" s="1" t="n"/>
      <c r="C54" s="1" t="n"/>
      <c r="D54" s="1" t="n"/>
      <c r="E54" s="1" t="n"/>
      <c r="F54" s="1" t="n"/>
      <c r="G54" s="1" t="n"/>
    </row>
    <row r="55" ht="20" customHeight="1">
      <c r="A55" s="17" t="inlineStr">
        <is>
          <t>6  Upkeep and operations, per month</t>
        </is>
      </c>
      <c r="B55" s="18" t="n"/>
      <c r="C55" s="19" t="inlineStr">
        <is>
          <t>What does it cost to keep the system trustworthy after launch?</t>
        </is>
      </c>
      <c r="D55" s="18" t="n"/>
      <c r="E55" s="18" t="n"/>
      <c r="F55" s="18" t="n"/>
      <c r="G55" s="18" t="n"/>
    </row>
    <row r="56" ht="42" customHeight="1">
      <c r="A56" s="26" t="inlineStr">
        <is>
          <t>• Observability and eval tooling</t>
        </is>
      </c>
      <c r="B56" s="12" t="inlineStr">
        <is>
          <t>currency per month</t>
        </is>
      </c>
      <c r="C56" s="12" t="inlineStr">
        <is>
          <t>Tracing, logging, the eval runner, the dashboards. Licence fees or the compute to run your own.</t>
        </is>
      </c>
      <c r="D56" s="20" t="n">
        <v>0</v>
      </c>
      <c r="E56" s="20" t="n">
        <v>0</v>
      </c>
      <c r="F56" s="20" t="n">
        <v>8000</v>
      </c>
      <c r="G56" s="20" t="n">
        <v>35000</v>
      </c>
    </row>
    <row r="57" ht="42" customHeight="1">
      <c r="A57" s="26" t="inlineStr">
        <is>
          <t>• Eval maintenance</t>
        </is>
      </c>
      <c r="B57" s="12" t="inlineStr">
        <is>
          <t>engineer days per month</t>
        </is>
      </c>
      <c r="C57" s="12" t="inlineStr">
        <is>
          <t>Engineering days a month spent adding cases to the eval set and fixing the ones that go stale.</t>
        </is>
      </c>
      <c r="D57" s="20" t="n">
        <v>0</v>
      </c>
      <c r="E57" s="20" t="n">
        <v>0</v>
      </c>
      <c r="F57" s="20" t="n">
        <v>1</v>
      </c>
      <c r="G57" s="20" t="n">
        <v>3</v>
      </c>
    </row>
    <row r="58" ht="42" customHeight="1">
      <c r="A58" s="26" t="inlineStr">
        <is>
          <t>• Model-version re-qualification</t>
        </is>
      </c>
      <c r="B58" s="12" t="inlineStr">
        <is>
          <t>engineer days per year</t>
        </is>
      </c>
      <c r="C58" s="12" t="inlineStr">
        <is>
          <t>Engineering days a YEAR spent re-running the eval set after a model or SDK update. Spread across the months by the model. Count every update the provider ships.</t>
        </is>
      </c>
      <c r="D58" s="20" t="n">
        <v>0</v>
      </c>
      <c r="E58" s="20" t="n">
        <v>0</v>
      </c>
      <c r="F58" s="20" t="n">
        <v>9</v>
      </c>
      <c r="G58" s="20" t="n">
        <v>24</v>
      </c>
    </row>
    <row r="59" ht="42" customHeight="1">
      <c r="A59" s="26" t="inlineStr">
        <is>
          <t>• Prompt and regression testing</t>
        </is>
      </c>
      <c r="B59" s="12" t="inlineStr">
        <is>
          <t>engineer days per month</t>
        </is>
      </c>
      <c r="C59" s="12" t="inlineStr">
        <is>
          <t>Engineering days a month spent checking that a prompt change did not break something that used to work.</t>
        </is>
      </c>
      <c r="D59" s="20" t="n">
        <v>0</v>
      </c>
      <c r="E59" s="20" t="n">
        <v>0.25</v>
      </c>
      <c r="F59" s="20" t="n">
        <v>0.5</v>
      </c>
      <c r="G59" s="20" t="n">
        <v>1.5</v>
      </c>
    </row>
    <row r="60" ht="42" customHeight="1">
      <c r="A60" s="26" t="inlineStr">
        <is>
          <t>• Incident and on-call load</t>
        </is>
      </c>
      <c r="B60" s="12" t="inlineStr">
        <is>
          <t>engineer days per month</t>
        </is>
      </c>
      <c r="C60" s="12" t="inlineStr">
        <is>
          <t>Engineering days a month on incidents caused by the system. Take it from the on-call log.</t>
        </is>
      </c>
      <c r="D60" s="20" t="n">
        <v>0</v>
      </c>
      <c r="E60" s="20" t="n">
        <v>0</v>
      </c>
      <c r="F60" s="20" t="n">
        <v>0.25</v>
      </c>
      <c r="G60" s="20" t="n">
        <v>1</v>
      </c>
    </row>
    <row r="61" ht="30" customHeight="1">
      <c r="A61" s="21" t="inlineStr">
        <is>
          <t>Upkeep cost per month</t>
        </is>
      </c>
      <c r="B61" s="22" t="inlineStr">
        <is>
          <t>worked out</t>
        </is>
      </c>
      <c r="C61" s="23" t="inlineStr">
        <is>
          <t>Tooling, plus every engineering day above at the day rate, with the yearly line divided by twelve.</t>
        </is>
      </c>
      <c r="D61" s="24">
        <f>D56+(D57+D58/12+D59+D60)*$D$26</f>
        <v/>
      </c>
      <c r="E61" s="24">
        <f>E56+(E57+E58/12+E59+E60)*$D$26</f>
        <v/>
      </c>
      <c r="F61" s="24">
        <f>F56+(F57+F58/12+F59+F60)*$D$26</f>
        <v/>
      </c>
      <c r="G61" s="24">
        <f>G56+(G57+G58/12+G59+G60)*$D$26</f>
        <v/>
      </c>
    </row>
    <row r="62">
      <c r="A62" s="1" t="n"/>
      <c r="B62" s="1" t="n"/>
      <c r="C62" s="1" t="n"/>
      <c r="D62" s="1" t="n"/>
      <c r="E62" s="1" t="n"/>
      <c r="F62" s="1" t="n"/>
      <c r="G62" s="1" t="n"/>
    </row>
    <row r="63" ht="20" customHeight="1">
      <c r="A63" s="17" t="inlineStr">
        <is>
          <t>7  Quality</t>
        </is>
      </c>
      <c r="B63" s="18" t="n"/>
      <c r="C63" s="19" t="inlineStr">
        <is>
          <t>How often does each option produce an outcome you would accept?</t>
        </is>
      </c>
      <c r="D63" s="18" t="n"/>
      <c r="E63" s="18" t="n"/>
      <c r="F63" s="18" t="n"/>
      <c r="G63" s="18" t="n"/>
    </row>
    <row r="64" ht="42" customHeight="1">
      <c r="A64" s="5" t="inlineStr">
        <is>
          <t>Acceptable-outcome rate</t>
        </is>
      </c>
      <c r="B64" s="12" t="inlineStr">
        <is>
          <t>%</t>
        </is>
      </c>
      <c r="C64" s="12" t="inlineStr">
        <is>
          <t>The share of cases that meet the written definition with no rework. Measure it on the same set of cases for all four options.</t>
        </is>
      </c>
      <c r="D64" s="20" t="n">
        <v>78</v>
      </c>
      <c r="E64" s="20" t="n">
        <v>91</v>
      </c>
      <c r="F64" s="20" t="n">
        <v>89</v>
      </c>
      <c r="G64" s="20" t="n">
        <v>94</v>
      </c>
    </row>
    <row r="65" ht="30" customHeight="1">
      <c r="A65" s="21" t="inlineStr">
        <is>
          <t>Acceptable outcomes in the period</t>
        </is>
      </c>
      <c r="B65" s="22" t="inlineStr">
        <is>
          <t>worked out</t>
        </is>
      </c>
      <c r="C65" s="23" t="inlineStr">
        <is>
          <t>Total cases, times the acceptable-outcome rate.</t>
        </is>
      </c>
      <c r="D65" s="24">
        <f>$D$22*D64/100</f>
        <v/>
      </c>
      <c r="E65" s="24">
        <f>$D$22*E64/100</f>
        <v/>
      </c>
      <c r="F65" s="24">
        <f>$D$22*F64/100</f>
        <v/>
      </c>
      <c r="G65" s="24">
        <f>$D$22*G64/100</f>
        <v/>
      </c>
    </row>
    <row r="66">
      <c r="A66" s="1" t="n"/>
      <c r="B66" s="1" t="n"/>
      <c r="C66" s="1" t="n"/>
      <c r="D66" s="1" t="n"/>
      <c r="E66" s="1" t="n"/>
      <c r="F66" s="1" t="n"/>
      <c r="G66" s="1" t="n"/>
    </row>
    <row r="67">
      <c r="A67" s="17" t="inlineStr">
        <is>
          <t>Totals</t>
        </is>
      </c>
      <c r="B67" s="18" t="n"/>
      <c r="C67" s="19" t="inlineStr">
        <is>
          <t>Every option on the same cases. The number to argue about is cost per acceptable outcome.</t>
        </is>
      </c>
      <c r="D67" s="18" t="n"/>
      <c r="E67" s="18" t="n"/>
      <c r="F67" s="18" t="n"/>
      <c r="G67" s="18" t="n"/>
    </row>
    <row r="68" ht="30" customHeight="1">
      <c r="A68" s="21" t="inlineStr">
        <is>
          <t>Run cost per month</t>
        </is>
      </c>
      <c r="B68" s="22" t="inlineStr">
        <is>
          <t>worked out</t>
        </is>
      </c>
      <c r="C68" s="23" t="inlineStr">
        <is>
          <t>Model, tools, review, escalation, declined cases and upkeep, added up.</t>
        </is>
      </c>
      <c r="D68" s="24">
        <f>D41+D42+D51+D52+D53+D61</f>
        <v/>
      </c>
      <c r="E68" s="24">
        <f>E41+E42+E51+E52+E53+E61</f>
        <v/>
      </c>
      <c r="F68" s="24">
        <f>F41+F42+F51+F52+F53+F61</f>
        <v/>
      </c>
      <c r="G68" s="24">
        <f>G41+G42+G51+G52+G53+G61</f>
        <v/>
      </c>
    </row>
    <row r="69" ht="30" customHeight="1">
      <c r="A69" s="21" t="inlineStr">
        <is>
          <t>Run cost for the period</t>
        </is>
      </c>
      <c r="B69" s="22" t="inlineStr">
        <is>
          <t>worked out</t>
        </is>
      </c>
      <c r="C69" s="23" t="inlineStr">
        <is>
          <t>Run cost per month, times months.</t>
        </is>
      </c>
      <c r="D69" s="24">
        <f>D68*$D$19</f>
        <v/>
      </c>
      <c r="E69" s="24">
        <f>E68*$D$19</f>
        <v/>
      </c>
      <c r="F69" s="24">
        <f>F68*$D$19</f>
        <v/>
      </c>
      <c r="G69" s="24">
        <f>G68*$D$19</f>
        <v/>
      </c>
    </row>
    <row r="70" ht="30" customHeight="1">
      <c r="A70" s="21" t="inlineStr">
        <is>
          <t>Total cost for the period, build plus run</t>
        </is>
      </c>
      <c r="B70" s="22" t="inlineStr">
        <is>
          <t>worked out</t>
        </is>
      </c>
      <c r="C70" s="23" t="inlineStr">
        <is>
          <t>The build, paid once, plus the run cost for the period.</t>
        </is>
      </c>
      <c r="D70" s="24">
        <f>D33+D69</f>
        <v/>
      </c>
      <c r="E70" s="24">
        <f>E33+E69</f>
        <v/>
      </c>
      <c r="F70" s="24">
        <f>F33+F69</f>
        <v/>
      </c>
      <c r="G70" s="24">
        <f>G33+G69</f>
        <v/>
      </c>
    </row>
    <row r="71" ht="30" customHeight="1">
      <c r="A71" s="21" t="inlineStr">
        <is>
          <t>Cost per case</t>
        </is>
      </c>
      <c r="B71" s="22" t="inlineStr">
        <is>
          <t>worked out</t>
        </is>
      </c>
      <c r="C71" s="23" t="inlineStr">
        <is>
          <t>Total cost divided by total cases. The wrong number to argue about on its own.</t>
        </is>
      </c>
      <c r="D71" s="27">
        <f>IFERROR(D70/$D$22,"")</f>
        <v/>
      </c>
      <c r="E71" s="27">
        <f>IFERROR(E70/$D$22,"")</f>
        <v/>
      </c>
      <c r="F71" s="27">
        <f>IFERROR(F70/$D$22,"")</f>
        <v/>
      </c>
      <c r="G71" s="27">
        <f>IFERROR(G70/$D$22,"")</f>
        <v/>
      </c>
    </row>
    <row r="72" ht="30" customHeight="1">
      <c r="A72" s="21" t="inlineStr">
        <is>
          <t>Cost per acceptable outcome</t>
        </is>
      </c>
      <c r="B72" s="22" t="inlineStr">
        <is>
          <t>worked out</t>
        </is>
      </c>
      <c r="C72" s="23" t="inlineStr">
        <is>
          <t>Total cost divided by acceptable outcomes. The number to argue about.</t>
        </is>
      </c>
      <c r="D72" s="27">
        <f>IFERROR(D70/D65,"n/a")</f>
        <v/>
      </c>
      <c r="E72" s="27">
        <f>IFERROR(E70/E65,"n/a")</f>
        <v/>
      </c>
      <c r="F72" s="27">
        <f>IFERROR(F70/F65,"n/a")</f>
        <v/>
      </c>
      <c r="G72" s="27">
        <f>IFERROR(G70/G65,"n/a")</f>
        <v/>
      </c>
    </row>
    <row r="73" ht="30" customHeight="1">
      <c r="A73" s="21" t="inlineStr">
        <is>
          <t>Net position against the manual baseline</t>
        </is>
      </c>
      <c r="B73" s="22" t="inlineStr">
        <is>
          <t>worked out</t>
        </is>
      </c>
      <c r="C73" s="23" t="inlineStr">
        <is>
          <t>Manual baseline minus total cost. Positive means the option saves money over the period.</t>
        </is>
      </c>
      <c r="D73" s="24">
        <f>$D$23-D70</f>
        <v/>
      </c>
      <c r="E73" s="24">
        <f>$D$23-E70</f>
        <v/>
      </c>
      <c r="F73" s="24">
        <f>$D$23-F70</f>
        <v/>
      </c>
      <c r="G73" s="24">
        <f>$D$23-G70</f>
        <v/>
      </c>
    </row>
    <row r="74" ht="30" customHeight="1">
      <c r="A74" s="21" t="inlineStr">
        <is>
          <t>Months to break even on the build</t>
        </is>
      </c>
      <c r="B74" s="22" t="inlineStr">
        <is>
          <t>worked out</t>
        </is>
      </c>
      <c r="C74" s="23" t="inlineStr">
        <is>
          <t>Build cost divided by the monthly saving against doing it by hand. "Never" means the option costs more to run each month than the manual process.</t>
        </is>
      </c>
      <c r="D74" s="28">
        <f>IFERROR(IF(($D$23/$D$19-D68)&lt;=0,"never",D33/($D$23/$D$19-D68)),"")</f>
        <v/>
      </c>
      <c r="E74" s="28">
        <f>IFERROR(IF(($D$23/$D$19-E68)&lt;=0,"never",E33/($D$23/$D$19-E68)),"")</f>
        <v/>
      </c>
      <c r="F74" s="28">
        <f>IFERROR(IF(($D$23/$D$19-F68)&lt;=0,"never",F33/($D$23/$D$19-F68)),"")</f>
        <v/>
      </c>
      <c r="G74" s="28">
        <f>IFERROR(IF(($D$23/$D$19-G68)&lt;=0,"never",G33/($D$23/$D$19-G68)),"")</f>
        <v/>
      </c>
    </row>
    <row r="75" ht="30" customHeight="1">
      <c r="A75" s="21" t="inlineStr">
        <is>
          <t>Cost per acceptable outcome, options that save money</t>
        </is>
      </c>
      <c r="B75" s="22" t="inlineStr">
        <is>
          <t>worked out</t>
        </is>
      </c>
      <c r="C75" s="23" t="inlineStr">
        <is>
          <t>Blank for an option that costs more over the period than doing it by hand.</t>
        </is>
      </c>
      <c r="D75" s="27">
        <f>IF(D73&gt;0,D72,"")</f>
        <v/>
      </c>
      <c r="E75" s="27">
        <f>IF(E73&gt;0,E72,"")</f>
        <v/>
      </c>
      <c r="F75" s="27">
        <f>IF(F73&gt;0,F72,"")</f>
        <v/>
      </c>
      <c r="G75" s="27">
        <f>IF(G73&gt;0,G72,"")</f>
        <v/>
      </c>
    </row>
    <row r="76" ht="30" customHeight="1">
      <c r="A76" s="21" t="inlineStr">
        <is>
          <t>Leading option</t>
        </is>
      </c>
      <c r="B76" s="22" t="inlineStr">
        <is>
          <t>worked out</t>
        </is>
      </c>
      <c r="C76" s="23" t="inlineStr">
        <is>
          <t>The option with the lowest cost per acceptable outcome among those that save money. The rubric on the Read me sheet says what to do with each answer.</t>
        </is>
      </c>
      <c r="D76" s="29">
        <f>IFERROR(INDEX($D$14:$G$14,MATCH(MIN(D75:G75),D75:G75,0)),"Nothing here beats doing it by hand")</f>
        <v/>
      </c>
      <c r="E76" s="25" t="n"/>
      <c r="F76" s="25" t="n"/>
      <c r="G76" s="25" t="n"/>
    </row>
    <row r="77">
      <c r="A77" s="1" t="n"/>
      <c r="B77" s="1" t="n"/>
      <c r="C77" s="1" t="n"/>
      <c r="D77" s="1" t="n"/>
      <c r="E77" s="1" t="n"/>
      <c r="F77" s="1" t="n"/>
      <c r="G77" s="1" t="n"/>
    </row>
    <row r="78">
      <c r="A78" s="1" t="n"/>
      <c r="B78" s="1" t="n"/>
      <c r="C78" s="1" t="n"/>
      <c r="D78" s="1" t="n"/>
      <c r="E78" s="1" t="n"/>
      <c r="F78" s="1" t="n"/>
      <c r="G78" s="1" t="n"/>
    </row>
  </sheetData>
  <mergeCells count="6">
    <mergeCell ref="A9:G9"/>
    <mergeCell ref="A8:G8"/>
    <mergeCell ref="A6:G6"/>
    <mergeCell ref="A12:G12"/>
    <mergeCell ref="A7:G7"/>
    <mergeCell ref="A10:G10"/>
  </mergeCells>
  <printOptions horizontalCentered="1"/>
  <pageMargins left="0.75" right="0.75" top="1" bottom="1" header="0.5" footer="0.5"/>
  <pageSetup orientation="landscape" paperSize="9" fitToHeight="0" fitToWidth="1"/>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2026-09-28T06:37:23Z</dcterms:created>
  <dcterms:modified xmlns:dcterms="http://purl.org/dc/terms/" xmlns:xsi="http://www.w3.org/2001/XMLSchema-instance" xsi:type="dcterms:W3CDTF">2026-09-28T06:37:23Z</dcterms:modified>
</cp:coreProperties>
</file>