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 Action Inventory" sheetId="2" state="visible" r:id="rId2"/>
    <sheet name="2 · Authority Requirements" sheetId="3" state="visible" r:id="rId3"/>
    <sheet name="3 · Checklist" sheetId="4" state="visible" r:id="rId4"/>
    <sheet name="Worked Example"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ource Serif 4"/>
      <color rgb="FF172E26"/>
      <sz val="18"/>
    </font>
    <font>
      <name val="Figtree"/>
      <color rgb="FF526259"/>
      <sz val="12"/>
    </font>
    <font>
      <name val="Figtree"/>
      <color rgb="FF526259"/>
      <sz val="9"/>
    </font>
    <font>
      <name val="Figtree"/>
      <b val="1"/>
      <color rgb="FFF5F0E6"/>
      <sz val="10"/>
    </font>
    <font>
      <name val="Figtree"/>
      <color rgb="FF172E26"/>
      <sz val="11"/>
    </font>
    <font>
      <name val="Figtree"/>
      <b val="1"/>
      <color rgb="FF172E26"/>
      <sz val="11"/>
    </font>
    <font>
      <name val="Source Serif 4"/>
      <color rgb="FF172E26"/>
      <sz val="14"/>
    </font>
    <font>
      <name val="Figtree"/>
      <b val="1"/>
      <color rgb="FF172E26"/>
      <sz val="16"/>
    </font>
    <font>
      <name val="Figtree"/>
      <b val="1"/>
      <color rgb="FF765523"/>
      <sz val="9"/>
    </font>
    <font>
      <name val="Figtree"/>
      <b val="1"/>
      <color rgb="FF315D6B"/>
      <sz val="10"/>
    </font>
    <font>
      <name val="Figtree"/>
      <b val="1"/>
      <color rgb="FF765523"/>
      <sz val="10"/>
    </font>
    <font>
      <name val="Figtree"/>
      <b val="1"/>
      <color rgb="FF526259"/>
      <sz val="10"/>
    </font>
    <font>
      <name val="Figtree"/>
      <b val="1"/>
      <color rgb="FF765523"/>
      <sz val="11"/>
    </font>
    <font>
      <name val="Source Serif 4"/>
      <color rgb="FF172E26"/>
      <sz val="26"/>
    </font>
    <font>
      <name val="Figtree"/>
      <color rgb="FF526259"/>
    </font>
  </fonts>
  <fills count="7">
    <fill>
      <patternFill/>
    </fill>
    <fill>
      <patternFill patternType="gray125"/>
    </fill>
    <fill>
      <patternFill patternType="solid">
        <fgColor rgb="FF183D32"/>
      </patternFill>
    </fill>
    <fill>
      <patternFill patternType="solid">
        <fgColor rgb="FFF4E9CE"/>
      </patternFill>
    </fill>
    <fill>
      <patternFill patternType="solid">
        <fgColor rgb="FFE7EFF1"/>
      </patternFill>
    </fill>
    <fill>
      <patternFill patternType="solid">
        <fgColor rgb="FFE5EBE1"/>
      </patternFill>
    </fill>
    <fill>
      <patternFill patternType="solid">
        <fgColor rgb="FFCBD1C8"/>
      </patternFill>
    </fill>
  </fills>
  <borders count="4">
    <border>
      <left/>
      <right/>
      <top/>
      <bottom/>
      <diagonal/>
    </border>
    <border>
      <bottom style="thin">
        <color rgb="FFCBD1C8"/>
      </bottom>
    </border>
    <border>
      <left style="thin">
        <color rgb="FF765523"/>
      </left>
      <right style="thin">
        <color rgb="FF765523"/>
      </right>
      <top style="thin">
        <color rgb="FF765523"/>
      </top>
      <bottom style="thin">
        <color rgb="FF765523"/>
      </bottom>
    </border>
    <border>
      <bottom style="medium">
        <color rgb="FFB58A46"/>
      </bottom>
    </border>
  </borders>
  <cellStyleXfs count="1">
    <xf numFmtId="0" fontId="0" fillId="0" borderId="0"/>
  </cellStyleXfs>
  <cellXfs count="44">
    <xf numFmtId="0" fontId="0" fillId="0" borderId="0" pivotButton="0" quotePrefix="0" xfId="0"/>
    <xf numFmtId="0" fontId="14" fillId="0" borderId="3" applyAlignment="1" pivotButton="0" quotePrefix="0" xfId="0">
      <alignment horizontal="left" vertical="center"/>
    </xf>
    <xf numFmtId="0" fontId="0" fillId="0" borderId="3" pivotButton="0" quotePrefix="0" xfId="0"/>
    <xf numFmtId="0" fontId="2" fillId="0" borderId="0" applyAlignment="1" pivotButton="0" quotePrefix="0" xfId="0">
      <alignment horizontal="left" vertical="center" wrapText="1"/>
    </xf>
    <xf numFmtId="0" fontId="9" fillId="0" borderId="0" applyAlignment="1" pivotButton="0" quotePrefix="0" xfId="0">
      <alignment horizontal="left" vertical="top"/>
    </xf>
    <xf numFmtId="0" fontId="5" fillId="0" borderId="0" applyAlignment="1" pivotButton="0" quotePrefix="0" xfId="0">
      <alignment horizontal="left" vertical="top" wrapText="1"/>
    </xf>
    <xf numFmtId="0" fontId="4" fillId="2" borderId="0" applyAlignment="1" pivotButton="0" quotePrefix="0" xfId="0">
      <alignment horizontal="left" vertical="bottom" wrapText="1"/>
    </xf>
    <xf numFmtId="0" fontId="10" fillId="4" borderId="1" applyAlignment="1" pivotButton="0" quotePrefix="0" xfId="0">
      <alignment horizontal="left" vertical="center" wrapText="1"/>
    </xf>
    <xf numFmtId="0" fontId="5" fillId="0" borderId="1" applyAlignment="1" pivotButton="0" quotePrefix="0" xfId="0">
      <alignment horizontal="left" vertical="center" wrapText="1"/>
    </xf>
    <xf numFmtId="0" fontId="11" fillId="3" borderId="1" applyAlignment="1" pivotButton="0" quotePrefix="0" xfId="0">
      <alignment horizontal="left" vertical="center" wrapText="1"/>
    </xf>
    <xf numFmtId="0" fontId="12" fillId="5"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0" applyAlignment="1" pivotButton="0" quotePrefix="0" xfId="0">
      <alignment horizontal="left" vertical="center"/>
    </xf>
    <xf numFmtId="0" fontId="5" fillId="0" borderId="0" applyAlignment="1" pivotButton="0" quotePrefix="0" xfId="0">
      <alignment horizontal="left" vertical="center" wrapText="1"/>
    </xf>
    <xf numFmtId="0" fontId="5" fillId="0" borderId="0" applyAlignment="1" pivotButton="0" quotePrefix="0" xfId="0">
      <alignment horizontal="left" vertical="center"/>
    </xf>
    <xf numFmtId="0" fontId="5" fillId="3" borderId="2" applyAlignment="1" pivotButton="0" quotePrefix="0" xfId="0">
      <alignment horizontal="left" vertical="center"/>
    </xf>
    <xf numFmtId="0" fontId="3" fillId="0" borderId="0" applyAlignment="1" pivotButton="0" quotePrefix="0" xfId="0">
      <alignment horizontal="left" vertical="center"/>
    </xf>
    <xf numFmtId="0" fontId="15" fillId="6" borderId="0" applyAlignment="1" pivotButton="0" quotePrefix="0" xfId="0">
      <alignment horizontal="left" vertical="center"/>
    </xf>
    <xf numFmtId="0" fontId="1" fillId="0" borderId="0" applyAlignment="1" pivotButton="0" quotePrefix="0" xfId="0">
      <alignment horizontal="left" vertical="center"/>
    </xf>
    <xf numFmtId="0" fontId="3"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5" fillId="3" borderId="2" applyAlignment="1" applyProtection="1" pivotButton="0" quotePrefix="0" xfId="0">
      <alignment horizontal="left" vertical="center" wrapText="1" indent="1"/>
      <protection locked="0" hidden="0"/>
    </xf>
    <xf numFmtId="0" fontId="5" fillId="3" borderId="2" applyAlignment="1" applyProtection="1" pivotButton="0" quotePrefix="0" xfId="0">
      <alignment horizontal="center" vertical="center" wrapText="1"/>
      <protection locked="0" hidden="0"/>
    </xf>
    <xf numFmtId="0" fontId="6" fillId="0" borderId="1" applyAlignment="1" pivotButton="0" quotePrefix="0" xfId="0">
      <alignment horizontal="center" vertical="center" wrapText="1"/>
    </xf>
    <xf numFmtId="0" fontId="7" fillId="0" borderId="0" applyAlignment="1" pivotButton="0" quotePrefix="0" xfId="0">
      <alignment horizontal="left" vertical="center"/>
    </xf>
    <xf numFmtId="0" fontId="8" fillId="0" borderId="1" applyAlignment="1" pivotButton="0" quotePrefix="0" xfId="0">
      <alignment horizontal="left" vertical="center"/>
    </xf>
    <xf numFmtId="0" fontId="9" fillId="0" borderId="0" applyAlignment="1" pivotButton="0" quotePrefix="0" xfId="0">
      <alignment horizontal="left" vertical="center"/>
    </xf>
    <xf numFmtId="0" fontId="9" fillId="0" borderId="0" applyAlignment="1" pivotButton="0" quotePrefix="0" xfId="0">
      <alignment horizontal="center" vertical="center" wrapText="1"/>
    </xf>
    <xf numFmtId="0" fontId="10" fillId="4" borderId="1" applyAlignment="1" pivotButton="0" quotePrefix="0" xfId="0">
      <alignment horizontal="left" vertical="center"/>
    </xf>
    <xf numFmtId="0" fontId="6"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11" fillId="3" borderId="1" applyAlignment="1" pivotButton="0" quotePrefix="0" xfId="0">
      <alignment horizontal="left" vertical="center"/>
    </xf>
    <xf numFmtId="0" fontId="12" fillId="5" borderId="1" applyAlignment="1" pivotButton="0" quotePrefix="0" xfId="0">
      <alignment horizontal="left" vertical="center"/>
    </xf>
    <xf numFmtId="0" fontId="10" fillId="4" borderId="0" applyAlignment="1" pivotButton="0" quotePrefix="0" xfId="0">
      <alignment horizontal="left" vertical="center"/>
    </xf>
    <xf numFmtId="0" fontId="11" fillId="3" borderId="0" applyAlignment="1" pivotButton="0" quotePrefix="0" xfId="0">
      <alignment horizontal="left" vertical="center"/>
    </xf>
    <xf numFmtId="0" fontId="12" fillId="5" borderId="0" applyAlignment="1" pivotButton="0" quotePrefix="0" xfId="0">
      <alignment horizontal="left" vertical="center"/>
    </xf>
    <xf numFmtId="0" fontId="6" fillId="0" borderId="0" applyAlignment="1" pivotButton="0" quotePrefix="0" xfId="0">
      <alignment horizontal="left" vertical="center" wrapText="1"/>
    </xf>
    <xf numFmtId="0" fontId="8" fillId="0" borderId="0" applyAlignment="1" pivotButton="0" quotePrefix="0" xfId="0">
      <alignment horizontal="center" vertical="center" wrapText="1"/>
    </xf>
    <xf numFmtId="0" fontId="0" fillId="0" borderId="1" pivotButton="0" quotePrefix="0" xfId="0"/>
    <xf numFmtId="0" fontId="3" fillId="0" borderId="1" applyAlignment="1" pivotButton="0" quotePrefix="0" xfId="0">
      <alignment horizontal="left" vertical="center" wrapText="1"/>
    </xf>
    <xf numFmtId="0" fontId="13" fillId="3" borderId="0" applyAlignment="1" pivotButton="0" quotePrefix="0" xfId="0">
      <alignment horizontal="left" vertical="center" wrapText="1"/>
    </xf>
    <xf numFmtId="0" fontId="0" fillId="3" borderId="0" pivotButton="0" quotePrefix="0" xfId="0"/>
    <xf numFmtId="0" fontId="5" fillId="3" borderId="2" applyAlignment="1" pivotButton="0" quotePrefix="0" xfId="0">
      <alignment horizontal="left" vertical="center" wrapText="1" indent="1"/>
    </xf>
    <xf numFmtId="0" fontId="5" fillId="3" borderId="2" applyAlignment="1" pivotButton="0" quotePrefix="0" xfId="0">
      <alignment horizontal="center" vertical="center" wrapText="1"/>
    </xf>
  </cellXfs>
  <cellStyles count="1">
    <cellStyle name="Normal" xfId="0" builtinId="0" hidden="0"/>
  </cellStyles>
  <dxfs count="9">
    <dxf>
      <font>
        <name val="Figtree"/>
        <b val="1"/>
        <color rgb="FF315D6B"/>
      </font>
      <fill>
        <patternFill patternType="solid">
          <fgColor rgb="FFE7EFF1"/>
        </patternFill>
      </fill>
    </dxf>
    <dxf>
      <font>
        <name val="Figtree"/>
        <b val="1"/>
        <color rgb="FF765523"/>
      </font>
      <fill>
        <patternFill patternType="solid">
          <fgColor rgb="FFF4E9CE"/>
        </patternFill>
      </fill>
    </dxf>
    <dxf>
      <font>
        <name val="Figtree"/>
        <b val="1"/>
        <color rgb="FF526259"/>
      </font>
      <fill>
        <patternFill patternType="solid">
          <fgColor rgb="FFE5EBE1"/>
        </patternFill>
      </fill>
    </dxf>
    <dxf>
      <font>
        <name val="Figtree"/>
        <b val="1"/>
        <color rgb="FF963D34"/>
        <sz val="16"/>
      </font>
      <fill>
        <patternFill patternType="solid">
          <fgColor rgb="FFF7E8E3"/>
        </patternFill>
      </fill>
    </dxf>
    <dxf>
      <font>
        <name val="Figtree"/>
        <color rgb="FF526259"/>
      </font>
      <fill>
        <patternFill patternType="solid">
          <fgColor rgb="FFCBD1C8"/>
        </patternFill>
      </fill>
    </dxf>
    <dxf>
      <font>
        <name val="Figtree"/>
        <b val="1"/>
        <color rgb="FF215C42"/>
      </font>
      <fill>
        <patternFill patternType="solid">
          <fgColor rgb="FFE6EFE5"/>
        </patternFill>
      </fill>
    </dxf>
    <dxf>
      <font>
        <name val="Figtree"/>
        <b val="1"/>
        <color rgb="FF963D34"/>
      </font>
      <fill>
        <patternFill patternType="solid">
          <fgColor rgb="FFF7E8E3"/>
        </patternFill>
      </fill>
    </dxf>
    <dxf>
      <font>
        <name val="Figtree"/>
        <b val="1"/>
        <color rgb="FF215C42"/>
        <sz val="16"/>
      </font>
      <fill>
        <patternFill patternType="solid">
          <fgColor rgb="FFE6EFE5"/>
        </patternFill>
      </fill>
    </dxf>
    <dxf>
      <font>
        <name val="Figtree"/>
        <b val="1"/>
        <color rgb="FF765523"/>
        <sz val="16"/>
      </font>
      <fill>
        <patternFill patternType="solid">
          <fgColor rgb="FFF4E9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14550" cy="4191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ing.thelivingcraft.ai/#apply"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tabColor rgb="00183D32"/>
    <outlinePr summaryBelow="1" summaryRight="1"/>
    <pageSetUpPr fitToPage="1"/>
  </sheetPr>
  <dimension ref="B4:D39"/>
  <sheetViews>
    <sheetView showGridLines="0" workbookViewId="0">
      <selection activeCell="A1" sqref="A1"/>
    </sheetView>
  </sheetViews>
  <sheetFormatPr baseColWidth="8" defaultRowHeight="15"/>
  <cols>
    <col width="3" customWidth="1" min="1" max="1"/>
    <col width="30" customWidth="1" min="2" max="2"/>
    <col width="46" customWidth="1" min="3" max="3"/>
    <col width="64" customWidth="1" min="4" max="4"/>
  </cols>
  <sheetData>
    <row r="2" ht="36" customHeight="1"/>
    <row r="4" ht="40" customHeight="1">
      <c r="B4" s="1" t="inlineStr">
        <is>
          <t>Change Authority Review</t>
        </is>
      </c>
      <c r="C4" s="2" t="n"/>
      <c r="D4" s="2" t="n"/>
    </row>
    <row r="5" ht="26" customHeight="1">
      <c r="B5" s="3" t="inlineStr">
        <is>
          <t>Your agent’s access says what it can do. Decide who gives it the authority to act.</t>
        </is>
      </c>
    </row>
    <row r="7" ht="51" customHeight="1">
      <c r="B7" s="4" t="inlineStr">
        <is>
          <t>WHAT TO BRING</t>
        </is>
      </c>
      <c r="C7" s="5" t="inlineStr">
        <is>
          <t>One agent and the artifact or system it changes; a list of every action it can take (edit, save a version, restore, delete, publish, send, notify, change permissions, call an external API); and a test environment where you can try undoing each action.</t>
        </is>
      </c>
    </row>
    <row r="9" ht="36" customHeight="1">
      <c r="B9" s="4" t="inlineStr">
        <is>
          <t>WHAT TO DO</t>
        </is>
      </c>
      <c r="C9" s="5" t="inlineStr">
        <is>
          <t>List every action, try to undo each one and record what remains, give each action an authority level (Agent acts, Preview and consent or Not allowed), fill in what each level needs, and score the ten checks.</t>
        </is>
      </c>
    </row>
    <row r="11" ht="51" customHeight="1">
      <c r="B11" s="4" t="inlineStr">
        <is>
          <t>WHAT YOU LEAVE WITH</t>
        </is>
      </c>
      <c r="C11" s="5" t="inlineStr">
        <is>
          <t>An authority map for that agent (each action, whether it can really be undone, who authorises it and what the preview must show), a list of actions whose authority isn’t ready, and a decision: Ready, Fix first or Hold.</t>
        </is>
      </c>
    </row>
    <row r="13">
      <c r="B13" s="4" t="inlineStr">
        <is>
          <t>THE THREE AUTHORITY LEVELS</t>
        </is>
      </c>
    </row>
    <row r="14" ht="22" customHeight="1">
      <c r="B14" s="6" t="inlineStr">
        <is>
          <t>Authority</t>
        </is>
      </c>
      <c r="C14" s="6" t="inlineStr">
        <is>
          <t>Use it when</t>
        </is>
      </c>
      <c r="D14" s="6" t="inlineStr">
        <is>
          <t>What it needs before the agent may act</t>
        </is>
      </c>
    </row>
    <row r="15" ht="36" customHeight="1">
      <c r="B15" s="7" t="inlineStr">
        <is>
          <t>Agent acts</t>
        </is>
      </c>
      <c r="C15" s="8" t="inlineStr">
        <is>
          <t>The action can be fully undone, and nobody but the user sees the result before it can be undone</t>
        </is>
      </c>
      <c r="D15" s="8" t="inlineStr">
        <is>
          <t>An undo path that has been tested, not assumed</t>
        </is>
      </c>
    </row>
    <row r="16" ht="51" customHeight="1">
      <c r="B16" s="9" t="inlineStr">
        <is>
          <t>Preview and consent</t>
        </is>
      </c>
      <c r="C16" s="8" t="inlineStr">
        <is>
          <t>The action can’t be fully undone, or other people or systems see the result</t>
        </is>
      </c>
      <c r="D16" s="8" t="inlineStr">
        <is>
          <t>A preview showing the full change and what can’t be undone; a named person who consents to each change; the agent acting as that person; a safe outcome if they say no</t>
        </is>
      </c>
    </row>
    <row r="17" ht="24" customHeight="1">
      <c r="B17" s="10" t="inlineStr">
        <is>
          <t>Not allowed</t>
        </is>
      </c>
      <c r="C17" s="8" t="inlineStr">
        <is>
          <t>The agent doesn’t need this action</t>
        </is>
      </c>
      <c r="D17" s="8" t="inlineStr">
        <is>
          <t>The access removed, not just unused</t>
        </is>
      </c>
    </row>
    <row r="19">
      <c r="B19" s="4" t="inlineStr">
        <is>
          <t>CAN IT BE UNDONE?</t>
        </is>
      </c>
    </row>
    <row r="20" ht="22" customHeight="1">
      <c r="B20" s="6" t="inlineStr">
        <is>
          <t>Answer</t>
        </is>
      </c>
      <c r="C20" s="6" t="inlineStr">
        <is>
          <t>Meaning</t>
        </is>
      </c>
      <c r="D20" s="6" t="inlineStr">
        <is>
          <t>Example</t>
        </is>
      </c>
    </row>
    <row r="21" ht="24" customHeight="1">
      <c r="B21" s="11" t="inlineStr">
        <is>
          <t>Yes</t>
        </is>
      </c>
      <c r="C21" s="8" t="inlineStr">
        <is>
          <t>An undo leaves nothing anyone could act on</t>
        </is>
      </c>
      <c r="D21" s="8" t="inlineStr">
        <is>
          <t>Discarding a draft in the editor preview</t>
        </is>
      </c>
    </row>
    <row r="22" ht="51" customHeight="1">
      <c r="B22" s="11" t="inlineStr">
        <is>
          <t>Partly</t>
        </is>
      </c>
      <c r="C22" s="8" t="inlineStr">
        <is>
          <t>The content can be restored, but a trace remains: a history entry, a notification, a copy, a link someone saved</t>
        </is>
      </c>
      <c r="D22" s="8" t="inlineStr">
        <is>
          <t>Saving a new version; restoring an earlier version</t>
        </is>
      </c>
    </row>
    <row r="23" ht="24" customHeight="1">
      <c r="B23" s="11" t="inlineStr">
        <is>
          <t>No</t>
        </is>
      </c>
      <c r="C23" s="8" t="inlineStr">
        <is>
          <t>It can’t be undone</t>
        </is>
      </c>
      <c r="D23" s="8" t="inlineStr">
        <is>
          <t>Publishing; sending a message; notifying people</t>
        </is>
      </c>
    </row>
    <row r="25">
      <c r="B25" s="4" t="inlineStr">
        <is>
          <t>HOW TO USE IT</t>
        </is>
      </c>
      <c r="C25" s="5" t="inlineStr">
        <is>
          <t>Work left to right through tabs 1–3. The Worked Example tab shows a completed version.</t>
        </is>
      </c>
    </row>
    <row r="26" ht="22" customHeight="1">
      <c r="B26" s="12" t="inlineStr">
        <is>
          <t>1 · Action Inventory</t>
        </is>
      </c>
      <c r="C26" s="13" t="inlineStr">
        <is>
          <t>What can the agent do, and can each action really be undone?</t>
        </is>
      </c>
    </row>
    <row r="27" ht="22" customHeight="1">
      <c r="B27" s="12" t="inlineStr">
        <is>
          <t>2 · Authority Requirements</t>
        </is>
      </c>
      <c r="C27" s="13" t="inlineStr">
        <is>
          <t>Does each authority level have what it needs?</t>
        </is>
      </c>
    </row>
    <row r="28" ht="22" customHeight="1">
      <c r="B28" s="12" t="inlineStr">
        <is>
          <t>3 · Checklist</t>
        </is>
      </c>
      <c r="C28" s="13" t="inlineStr">
        <is>
          <t>Is the agent’s authority ready for real users?</t>
        </is>
      </c>
    </row>
    <row r="30">
      <c r="B30" s="4" t="inlineStr">
        <is>
          <t>CELL LEGEND</t>
        </is>
      </c>
      <c r="C30" s="14" t="inlineStr">
        <is>
          <t>Shaded cells are yours to fill. Everything else calculates.</t>
        </is>
      </c>
    </row>
    <row r="31" ht="22" customHeight="1">
      <c r="C31" s="15" t="inlineStr">
        <is>
          <t>Yours to fill</t>
        </is>
      </c>
      <c r="D31" s="16" t="inlineStr">
        <is>
          <t>Shaded, with a thin border.</t>
        </is>
      </c>
    </row>
    <row r="32" ht="22" customHeight="1">
      <c r="C32" s="12" t="inlineStr">
        <is>
          <t>Calculates for you</t>
        </is>
      </c>
      <c r="D32" s="16" t="inlineStr">
        <is>
          <t>No fill, and locked.</t>
        </is>
      </c>
    </row>
    <row r="33" ht="22" customHeight="1">
      <c r="C33" s="17" t="inlineStr">
        <is>
          <t>Does not apply</t>
        </is>
      </c>
      <c r="D33" s="16" t="inlineStr">
        <is>
          <t>On Tab 2, a column that is not for this row’s authority.</t>
        </is>
      </c>
    </row>
    <row r="35">
      <c r="B35" s="16" t="inlineStr">
        <is>
          <t>© The Living Craft · thelivingcraft.ai · Content CC BY 4.0</t>
        </is>
      </c>
    </row>
    <row r="36">
      <c r="B36" s="16" t="inlineStr">
        <is>
          <t>Built by Sunil Mathew, co-authored with Claude</t>
        </is>
      </c>
    </row>
    <row r="38" ht="36" customHeight="1">
      <c r="B38" s="4" t="inlineStr">
        <is>
          <t>THE LIVING CRAFT COHORT</t>
        </is>
      </c>
      <c r="C38" s="5" t="inlineStr">
        <is>
          <t>Build a working agentic system and develop the reasoning behind it. Explore The Living Craft’s October 2026 cohort: 30 live hours with Sunil Mathew, plus independent work.</t>
        </is>
      </c>
    </row>
    <row r="39">
      <c r="C39" s="12" t="inlineStr">
        <is>
          <t>Apply at https://learning.thelivingcraft.ai/#apply</t>
        </is>
      </c>
    </row>
  </sheetData>
  <sheetProtection selectLockedCells="0" selectUnlockedCells="0" sheet="1" objects="0" insertRows="1" insertHyperlinks="1" autoFilter="1" scenarios="0" formatColumns="0" deleteColumns="1" insertColumns="1" pivotTables="1" deleteRows="1" formatCells="1" formatRows="0" sort="1"/>
  <mergeCells count="12">
    <mergeCell ref="B5:D5"/>
    <mergeCell ref="B36:D36"/>
    <mergeCell ref="C7:D7"/>
    <mergeCell ref="C38:D38"/>
    <mergeCell ref="C11:D11"/>
    <mergeCell ref="C25:D25"/>
    <mergeCell ref="C27:D27"/>
    <mergeCell ref="B35:D35"/>
    <mergeCell ref="C28:D28"/>
    <mergeCell ref="C9:D9"/>
    <mergeCell ref="C26:D26"/>
    <mergeCell ref="C39:D39"/>
  </mergeCells>
  <hyperlinks>
    <hyperlink xmlns:r="http://schemas.openxmlformats.org/officeDocument/2006/relationships" ref="C39" r:id="rId1"/>
  </hyperlinks>
  <printOptions horizontalCentered="1"/>
  <pageMargins left="0.75" right="0.75" top="1" bottom="1" header="0.5" footer="0.5"/>
  <pageSetup orientation="landscape" paperSize="9" fitToHeight="0" fitToWidth="1"/>
  <drawing xmlns:r="http://schemas.openxmlformats.org/officeDocument/2006/relationships" r:id="rId2"/>
</worksheet>
</file>

<file path=xl/worksheets/sheet2.xml><?xml version="1.0" encoding="utf-8"?>
<worksheet xmlns="http://schemas.openxmlformats.org/spreadsheetml/2006/main">
  <sheetPr>
    <tabColor rgb="00183D32"/>
    <outlinePr summaryBelow="1" summaryRight="1"/>
    <pageSetUpPr fitToPage="1"/>
  </sheetPr>
  <dimension ref="A1:Z39"/>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32" customWidth="1" min="3" max="3"/>
    <col width="14" customWidth="1" min="4" max="4"/>
    <col width="20" customWidth="1" min="5" max="5"/>
    <col width="12" customWidth="1" min="6" max="6"/>
    <col width="20" customWidth="1" min="7" max="7"/>
    <col width="20" customWidth="1" min="8" max="8"/>
    <col width="20" customWidth="1" min="9" max="9"/>
    <col width="13" customWidth="1" min="10" max="10"/>
    <col width="36" customWidth="1" min="11" max="11"/>
    <col hidden="1" width="13" customWidth="1" min="25" max="25"/>
    <col hidden="1" width="13" customWidth="1" min="26" max="26"/>
  </cols>
  <sheetData>
    <row r="1" ht="28" customHeight="1">
      <c r="A1" s="18" t="inlineStr">
        <is>
          <t>1 · Action Inventory</t>
        </is>
      </c>
      <c r="Z1" s="14" t="inlineStr">
        <is>
          <t>Yes</t>
        </is>
      </c>
    </row>
    <row r="2" ht="20" customHeight="1">
      <c r="A2" s="3" t="inlineStr">
        <is>
          <t>What can the agent do, and can each action really be undone?</t>
        </is>
      </c>
      <c r="Z2" s="14" t="inlineStr">
        <is>
          <t>Partly</t>
        </is>
      </c>
    </row>
    <row r="3" ht="30" customHeight="1">
      <c r="A3" s="19" t="inlineStr">
        <is>
          <t>Mark each action from a real undo attempt. Saving a version, restoring a version and renaming often feel reversible. Check what the history, notifications and other people’s screens show afterwards.</t>
        </is>
      </c>
      <c r="Z3" s="14" t="inlineStr">
        <is>
          <t>No</t>
        </is>
      </c>
    </row>
    <row r="5" ht="46" customHeight="1">
      <c r="A5" s="6" t="inlineStr">
        <is>
          <t>#</t>
        </is>
      </c>
      <c r="B5" s="6" t="inlineStr">
        <is>
          <t>Action</t>
        </is>
      </c>
      <c r="C5" s="6" t="inlineStr">
        <is>
          <t>What it changes</t>
        </is>
      </c>
      <c r="D5" s="6" t="inlineStr">
        <is>
          <t>Can it be undone?</t>
        </is>
      </c>
      <c r="E5" s="6" t="inlineStr">
        <is>
          <t>Who sees the result before it can be undone?</t>
        </is>
      </c>
      <c r="F5" s="6" t="inlineStr">
        <is>
          <t>Undo tested?</t>
        </is>
      </c>
      <c r="G5" s="6" t="inlineStr">
        <is>
          <t>Suggested authority</t>
        </is>
      </c>
      <c r="H5" s="6" t="inlineStr">
        <is>
          <t>Authority chosen</t>
        </is>
      </c>
      <c r="I5" s="6" t="inlineStr">
        <is>
          <t>Final authority</t>
        </is>
      </c>
      <c r="J5" s="6" t="inlineStr">
        <is>
          <t>Differs from suggestion?</t>
        </is>
      </c>
      <c r="K5" s="6" t="inlineStr">
        <is>
          <t>Reason for the difference</t>
        </is>
      </c>
      <c r="Z5" s="14" t="inlineStr">
        <is>
          <t>Nobody</t>
        </is>
      </c>
    </row>
    <row r="6" ht="30" customHeight="1">
      <c r="A6" s="20" t="n">
        <v>1</v>
      </c>
      <c r="B6" s="21" t="n"/>
      <c r="C6" s="21" t="n"/>
      <c r="D6" s="22" t="n"/>
      <c r="E6" s="22" t="n"/>
      <c r="F6" s="22" t="n"/>
      <c r="G6" s="23">
        <f>IF(OR(B6="",D6="",E6=""),"",IF(AND(D6="Yes",OR(E6="Nobody",E6="The user only")),"Agent acts","Preview and consent"))</f>
        <v/>
      </c>
      <c r="H6" s="22" t="n"/>
      <c r="I6" s="23">
        <f>IF(H6&lt;&gt;"",H6,G6)</f>
        <v/>
      </c>
      <c r="J6" s="23">
        <f>IF(AND(H6&lt;&gt;"",H6&lt;&gt;G6),"Yes","")</f>
        <v/>
      </c>
      <c r="K6" s="21" t="n"/>
      <c r="Z6" s="14" t="inlineStr">
        <is>
          <t>The user only</t>
        </is>
      </c>
    </row>
    <row r="7" ht="30" customHeight="1">
      <c r="A7" s="20" t="n">
        <v>2</v>
      </c>
      <c r="B7" s="21" t="n"/>
      <c r="C7" s="21" t="n"/>
      <c r="D7" s="22" t="n"/>
      <c r="E7" s="22" t="n"/>
      <c r="F7" s="22" t="n"/>
      <c r="G7" s="23">
        <f>IF(OR(B7="",D7="",E7=""),"",IF(AND(D7="Yes",OR(E7="Nobody",E7="The user only")),"Agent acts","Preview and consent"))</f>
        <v/>
      </c>
      <c r="H7" s="22" t="n"/>
      <c r="I7" s="23">
        <f>IF(H7&lt;&gt;"",H7,G7)</f>
        <v/>
      </c>
      <c r="J7" s="23">
        <f>IF(AND(H7&lt;&gt;"",H7&lt;&gt;G7),"Yes","")</f>
        <v/>
      </c>
      <c r="K7" s="21" t="n"/>
      <c r="Z7" s="14" t="inlineStr">
        <is>
          <t>Other people</t>
        </is>
      </c>
    </row>
    <row r="8" ht="30" customHeight="1">
      <c r="A8" s="20" t="n">
        <v>3</v>
      </c>
      <c r="B8" s="21" t="n"/>
      <c r="C8" s="21" t="n"/>
      <c r="D8" s="22" t="n"/>
      <c r="E8" s="22" t="n"/>
      <c r="F8" s="22" t="n"/>
      <c r="G8" s="23">
        <f>IF(OR(B8="",D8="",E8=""),"",IF(AND(D8="Yes",OR(E8="Nobody",E8="The user only")),"Agent acts","Preview and consent"))</f>
        <v/>
      </c>
      <c r="H8" s="22" t="n"/>
      <c r="I8" s="23">
        <f>IF(H8&lt;&gt;"",H8,G8)</f>
        <v/>
      </c>
      <c r="J8" s="23">
        <f>IF(AND(H8&lt;&gt;"",H8&lt;&gt;G8),"Yes","")</f>
        <v/>
      </c>
      <c r="K8" s="21" t="n"/>
      <c r="Z8" s="14" t="inlineStr">
        <is>
          <t>Another system</t>
        </is>
      </c>
    </row>
    <row r="9" ht="30" customHeight="1">
      <c r="A9" s="20" t="n">
        <v>4</v>
      </c>
      <c r="B9" s="21" t="n"/>
      <c r="C9" s="21" t="n"/>
      <c r="D9" s="22" t="n"/>
      <c r="E9" s="22" t="n"/>
      <c r="F9" s="22" t="n"/>
      <c r="G9" s="23">
        <f>IF(OR(B9="",D9="",E9=""),"",IF(AND(D9="Yes",OR(E9="Nobody",E9="The user only")),"Agent acts","Preview and consent"))</f>
        <v/>
      </c>
      <c r="H9" s="22" t="n"/>
      <c r="I9" s="23">
        <f>IF(H9&lt;&gt;"",H9,G9)</f>
        <v/>
      </c>
      <c r="J9" s="23">
        <f>IF(AND(H9&lt;&gt;"",H9&lt;&gt;G9),"Yes","")</f>
        <v/>
      </c>
      <c r="K9" s="21" t="n"/>
    </row>
    <row r="10" ht="30" customHeight="1">
      <c r="A10" s="20" t="n">
        <v>5</v>
      </c>
      <c r="B10" s="21" t="n"/>
      <c r="C10" s="21" t="n"/>
      <c r="D10" s="22" t="n"/>
      <c r="E10" s="22" t="n"/>
      <c r="F10" s="22" t="n"/>
      <c r="G10" s="23">
        <f>IF(OR(B10="",D10="",E10=""),"",IF(AND(D10="Yes",OR(E10="Nobody",E10="The user only")),"Agent acts","Preview and consent"))</f>
        <v/>
      </c>
      <c r="H10" s="22" t="n"/>
      <c r="I10" s="23">
        <f>IF(H10&lt;&gt;"",H10,G10)</f>
        <v/>
      </c>
      <c r="J10" s="23">
        <f>IF(AND(H10&lt;&gt;"",H10&lt;&gt;G10),"Yes","")</f>
        <v/>
      </c>
      <c r="K10" s="21" t="n"/>
      <c r="Z10" s="14" t="inlineStr">
        <is>
          <t>Yes</t>
        </is>
      </c>
    </row>
    <row r="11" ht="30" customHeight="1">
      <c r="A11" s="20" t="n">
        <v>6</v>
      </c>
      <c r="B11" s="21" t="n"/>
      <c r="C11" s="21" t="n"/>
      <c r="D11" s="22" t="n"/>
      <c r="E11" s="22" t="n"/>
      <c r="F11" s="22" t="n"/>
      <c r="G11" s="23">
        <f>IF(OR(B11="",D11="",E11=""),"",IF(AND(D11="Yes",OR(E11="Nobody",E11="The user only")),"Agent acts","Preview and consent"))</f>
        <v/>
      </c>
      <c r="H11" s="22" t="n"/>
      <c r="I11" s="23">
        <f>IF(H11&lt;&gt;"",H11,G11)</f>
        <v/>
      </c>
      <c r="J11" s="23">
        <f>IF(AND(H11&lt;&gt;"",H11&lt;&gt;G11),"Yes","")</f>
        <v/>
      </c>
      <c r="K11" s="21" t="n"/>
      <c r="Z11" s="14" t="inlineStr">
        <is>
          <t>No</t>
        </is>
      </c>
    </row>
    <row r="12" ht="30" customHeight="1">
      <c r="A12" s="20" t="n">
        <v>7</v>
      </c>
      <c r="B12" s="21" t="n"/>
      <c r="C12" s="21" t="n"/>
      <c r="D12" s="22" t="n"/>
      <c r="E12" s="22" t="n"/>
      <c r="F12" s="22" t="n"/>
      <c r="G12" s="23">
        <f>IF(OR(B12="",D12="",E12=""),"",IF(AND(D12="Yes",OR(E12="Nobody",E12="The user only")),"Agent acts","Preview and consent"))</f>
        <v/>
      </c>
      <c r="H12" s="22" t="n"/>
      <c r="I12" s="23">
        <f>IF(H12&lt;&gt;"",H12,G12)</f>
        <v/>
      </c>
      <c r="J12" s="23">
        <f>IF(AND(H12&lt;&gt;"",H12&lt;&gt;G12),"Yes","")</f>
        <v/>
      </c>
      <c r="K12" s="21" t="n"/>
    </row>
    <row r="13" ht="30" customHeight="1">
      <c r="A13" s="20" t="n">
        <v>8</v>
      </c>
      <c r="B13" s="21" t="n"/>
      <c r="C13" s="21" t="n"/>
      <c r="D13" s="22" t="n"/>
      <c r="E13" s="22" t="n"/>
      <c r="F13" s="22" t="n"/>
      <c r="G13" s="23">
        <f>IF(OR(B13="",D13="",E13=""),"",IF(AND(D13="Yes",OR(E13="Nobody",E13="The user only")),"Agent acts","Preview and consent"))</f>
        <v/>
      </c>
      <c r="H13" s="22" t="n"/>
      <c r="I13" s="23">
        <f>IF(H13&lt;&gt;"",H13,G13)</f>
        <v/>
      </c>
      <c r="J13" s="23">
        <f>IF(AND(H13&lt;&gt;"",H13&lt;&gt;G13),"Yes","")</f>
        <v/>
      </c>
      <c r="K13" s="21" t="n"/>
      <c r="Z13" s="14" t="inlineStr">
        <is>
          <t>Agent acts</t>
        </is>
      </c>
    </row>
    <row r="14" ht="30" customHeight="1">
      <c r="A14" s="20" t="n">
        <v>9</v>
      </c>
      <c r="B14" s="21" t="n"/>
      <c r="C14" s="21" t="n"/>
      <c r="D14" s="22" t="n"/>
      <c r="E14" s="22" t="n"/>
      <c r="F14" s="22" t="n"/>
      <c r="G14" s="23">
        <f>IF(OR(B14="",D14="",E14=""),"",IF(AND(D14="Yes",OR(E14="Nobody",E14="The user only")),"Agent acts","Preview and consent"))</f>
        <v/>
      </c>
      <c r="H14" s="22" t="n"/>
      <c r="I14" s="23">
        <f>IF(H14&lt;&gt;"",H14,G14)</f>
        <v/>
      </c>
      <c r="J14" s="23">
        <f>IF(AND(H14&lt;&gt;"",H14&lt;&gt;G14),"Yes","")</f>
        <v/>
      </c>
      <c r="K14" s="21" t="n"/>
      <c r="Z14" s="14" t="inlineStr">
        <is>
          <t>Preview and consent</t>
        </is>
      </c>
    </row>
    <row r="15" ht="30" customHeight="1">
      <c r="A15" s="20" t="n">
        <v>10</v>
      </c>
      <c r="B15" s="21" t="n"/>
      <c r="C15" s="21" t="n"/>
      <c r="D15" s="22" t="n"/>
      <c r="E15" s="22" t="n"/>
      <c r="F15" s="22" t="n"/>
      <c r="G15" s="23">
        <f>IF(OR(B15="",D15="",E15=""),"",IF(AND(D15="Yes",OR(E15="Nobody",E15="The user only")),"Agent acts","Preview and consent"))</f>
        <v/>
      </c>
      <c r="H15" s="22" t="n"/>
      <c r="I15" s="23">
        <f>IF(H15&lt;&gt;"",H15,G15)</f>
        <v/>
      </c>
      <c r="J15" s="23">
        <f>IF(AND(H15&lt;&gt;"",H15&lt;&gt;G15),"Yes","")</f>
        <v/>
      </c>
      <c r="K15" s="21" t="n"/>
      <c r="Z15" s="14" t="inlineStr">
        <is>
          <t>Not allowed</t>
        </is>
      </c>
    </row>
    <row r="16" ht="30" customHeight="1">
      <c r="A16" s="20" t="n">
        <v>11</v>
      </c>
      <c r="B16" s="21" t="n"/>
      <c r="C16" s="21" t="n"/>
      <c r="D16" s="22" t="n"/>
      <c r="E16" s="22" t="n"/>
      <c r="F16" s="22" t="n"/>
      <c r="G16" s="23">
        <f>IF(OR(B16="",D16="",E16=""),"",IF(AND(D16="Yes",OR(E16="Nobody",E16="The user only")),"Agent acts","Preview and consent"))</f>
        <v/>
      </c>
      <c r="H16" s="22" t="n"/>
      <c r="I16" s="23">
        <f>IF(H16&lt;&gt;"",H16,G16)</f>
        <v/>
      </c>
      <c r="J16" s="23">
        <f>IF(AND(H16&lt;&gt;"",H16&lt;&gt;G16),"Yes","")</f>
        <v/>
      </c>
      <c r="K16" s="21" t="n"/>
    </row>
    <row r="17" ht="30" customHeight="1">
      <c r="A17" s="20" t="n">
        <v>12</v>
      </c>
      <c r="B17" s="21" t="n"/>
      <c r="C17" s="21" t="n"/>
      <c r="D17" s="22" t="n"/>
      <c r="E17" s="22" t="n"/>
      <c r="F17" s="22" t="n"/>
      <c r="G17" s="23">
        <f>IF(OR(B17="",D17="",E17=""),"",IF(AND(D17="Yes",OR(E17="Nobody",E17="The user only")),"Agent acts","Preview and consent"))</f>
        <v/>
      </c>
      <c r="H17" s="22" t="n"/>
      <c r="I17" s="23">
        <f>IF(H17&lt;&gt;"",H17,G17)</f>
        <v/>
      </c>
      <c r="J17" s="23">
        <f>IF(AND(H17&lt;&gt;"",H17&lt;&gt;G17),"Yes","")</f>
        <v/>
      </c>
      <c r="K17" s="21" t="n"/>
    </row>
    <row r="18" ht="30" customHeight="1">
      <c r="A18" s="20" t="n">
        <v>13</v>
      </c>
      <c r="B18" s="21" t="n"/>
      <c r="C18" s="21" t="n"/>
      <c r="D18" s="22" t="n"/>
      <c r="E18" s="22" t="n"/>
      <c r="F18" s="22" t="n"/>
      <c r="G18" s="23">
        <f>IF(OR(B18="",D18="",E18=""),"",IF(AND(D18="Yes",OR(E18="Nobody",E18="The user only")),"Agent acts","Preview and consent"))</f>
        <v/>
      </c>
      <c r="H18" s="22" t="n"/>
      <c r="I18" s="23">
        <f>IF(H18&lt;&gt;"",H18,G18)</f>
        <v/>
      </c>
      <c r="J18" s="23">
        <f>IF(AND(H18&lt;&gt;"",H18&lt;&gt;G18),"Yes","")</f>
        <v/>
      </c>
      <c r="K18" s="21" t="n"/>
    </row>
    <row r="19" ht="30" customHeight="1">
      <c r="A19" s="20" t="n">
        <v>14</v>
      </c>
      <c r="B19" s="21" t="n"/>
      <c r="C19" s="21" t="n"/>
      <c r="D19" s="22" t="n"/>
      <c r="E19" s="22" t="n"/>
      <c r="F19" s="22" t="n"/>
      <c r="G19" s="23">
        <f>IF(OR(B19="",D19="",E19=""),"",IF(AND(D19="Yes",OR(E19="Nobody",E19="The user only")),"Agent acts","Preview and consent"))</f>
        <v/>
      </c>
      <c r="H19" s="22" t="n"/>
      <c r="I19" s="23">
        <f>IF(H19&lt;&gt;"",H19,G19)</f>
        <v/>
      </c>
      <c r="J19" s="23">
        <f>IF(AND(H19&lt;&gt;"",H19&lt;&gt;G19),"Yes","")</f>
        <v/>
      </c>
      <c r="K19" s="21" t="n"/>
    </row>
    <row r="20" ht="30" customHeight="1">
      <c r="A20" s="20" t="n">
        <v>15</v>
      </c>
      <c r="B20" s="21" t="n"/>
      <c r="C20" s="21" t="n"/>
      <c r="D20" s="22" t="n"/>
      <c r="E20" s="22" t="n"/>
      <c r="F20" s="22" t="n"/>
      <c r="G20" s="23">
        <f>IF(OR(B20="",D20="",E20=""),"",IF(AND(D20="Yes",OR(E20="Nobody",E20="The user only")),"Agent acts","Preview and consent"))</f>
        <v/>
      </c>
      <c r="H20" s="22" t="n"/>
      <c r="I20" s="23">
        <f>IF(H20&lt;&gt;"",H20,G20)</f>
        <v/>
      </c>
      <c r="J20" s="23">
        <f>IF(AND(H20&lt;&gt;"",H20&lt;&gt;G20),"Yes","")</f>
        <v/>
      </c>
      <c r="K20" s="21" t="n"/>
    </row>
    <row r="21" ht="30" customHeight="1">
      <c r="A21" s="20" t="n">
        <v>16</v>
      </c>
      <c r="B21" s="21" t="n"/>
      <c r="C21" s="21" t="n"/>
      <c r="D21" s="22" t="n"/>
      <c r="E21" s="22" t="n"/>
      <c r="F21" s="22" t="n"/>
      <c r="G21" s="23">
        <f>IF(OR(B21="",D21="",E21=""),"",IF(AND(D21="Yes",OR(E21="Nobody",E21="The user only")),"Agent acts","Preview and consent"))</f>
        <v/>
      </c>
      <c r="H21" s="22" t="n"/>
      <c r="I21" s="23">
        <f>IF(H21&lt;&gt;"",H21,G21)</f>
        <v/>
      </c>
      <c r="J21" s="23">
        <f>IF(AND(H21&lt;&gt;"",H21&lt;&gt;G21),"Yes","")</f>
        <v/>
      </c>
      <c r="K21" s="21" t="n"/>
    </row>
    <row r="22" ht="30" customHeight="1">
      <c r="A22" s="20" t="n">
        <v>17</v>
      </c>
      <c r="B22" s="21" t="n"/>
      <c r="C22" s="21" t="n"/>
      <c r="D22" s="22" t="n"/>
      <c r="E22" s="22" t="n"/>
      <c r="F22" s="22" t="n"/>
      <c r="G22" s="23">
        <f>IF(OR(B22="",D22="",E22=""),"",IF(AND(D22="Yes",OR(E22="Nobody",E22="The user only")),"Agent acts","Preview and consent"))</f>
        <v/>
      </c>
      <c r="H22" s="22" t="n"/>
      <c r="I22" s="23">
        <f>IF(H22&lt;&gt;"",H22,G22)</f>
        <v/>
      </c>
      <c r="J22" s="23">
        <f>IF(AND(H22&lt;&gt;"",H22&lt;&gt;G22),"Yes","")</f>
        <v/>
      </c>
      <c r="K22" s="21" t="n"/>
    </row>
    <row r="23" ht="30" customHeight="1">
      <c r="A23" s="20" t="n">
        <v>18</v>
      </c>
      <c r="B23" s="21" t="n"/>
      <c r="C23" s="21" t="n"/>
      <c r="D23" s="22" t="n"/>
      <c r="E23" s="22" t="n"/>
      <c r="F23" s="22" t="n"/>
      <c r="G23" s="23">
        <f>IF(OR(B23="",D23="",E23=""),"",IF(AND(D23="Yes",OR(E23="Nobody",E23="The user only")),"Agent acts","Preview and consent"))</f>
        <v/>
      </c>
      <c r="H23" s="22" t="n"/>
      <c r="I23" s="23">
        <f>IF(H23&lt;&gt;"",H23,G23)</f>
        <v/>
      </c>
      <c r="J23" s="23">
        <f>IF(AND(H23&lt;&gt;"",H23&lt;&gt;G23),"Yes","")</f>
        <v/>
      </c>
      <c r="K23" s="21" t="n"/>
    </row>
    <row r="24" ht="30" customHeight="1">
      <c r="A24" s="20" t="n">
        <v>19</v>
      </c>
      <c r="B24" s="21" t="n"/>
      <c r="C24" s="21" t="n"/>
      <c r="D24" s="22" t="n"/>
      <c r="E24" s="22" t="n"/>
      <c r="F24" s="22" t="n"/>
      <c r="G24" s="23">
        <f>IF(OR(B24="",D24="",E24=""),"",IF(AND(D24="Yes",OR(E24="Nobody",E24="The user only")),"Agent acts","Preview and consent"))</f>
        <v/>
      </c>
      <c r="H24" s="22" t="n"/>
      <c r="I24" s="23">
        <f>IF(H24&lt;&gt;"",H24,G24)</f>
        <v/>
      </c>
      <c r="J24" s="23">
        <f>IF(AND(H24&lt;&gt;"",H24&lt;&gt;G24),"Yes","")</f>
        <v/>
      </c>
      <c r="K24" s="21" t="n"/>
    </row>
    <row r="25" ht="30" customHeight="1">
      <c r="A25" s="20" t="n">
        <v>20</v>
      </c>
      <c r="B25" s="21" t="n"/>
      <c r="C25" s="21" t="n"/>
      <c r="D25" s="22" t="n"/>
      <c r="E25" s="22" t="n"/>
      <c r="F25" s="22" t="n"/>
      <c r="G25" s="23">
        <f>IF(OR(B25="",D25="",E25=""),"",IF(AND(D25="Yes",OR(E25="Nobody",E25="The user only")),"Agent acts","Preview and consent"))</f>
        <v/>
      </c>
      <c r="H25" s="22" t="n"/>
      <c r="I25" s="23">
        <f>IF(H25&lt;&gt;"",H25,G25)</f>
        <v/>
      </c>
      <c r="J25" s="23">
        <f>IF(AND(H25&lt;&gt;"",H25&lt;&gt;G25),"Yes","")</f>
        <v/>
      </c>
      <c r="K25" s="21" t="n"/>
    </row>
    <row r="27" ht="26" customHeight="1">
      <c r="A27" s="24" t="inlineStr">
        <is>
          <t>Summary</t>
        </is>
      </c>
    </row>
    <row r="28" ht="24" customHeight="1">
      <c r="A28" s="13" t="inlineStr">
        <is>
          <t>Actions listed</t>
        </is>
      </c>
      <c r="C28" s="25">
        <f>COUNTA(B6:B25)</f>
        <v/>
      </c>
    </row>
    <row r="30">
      <c r="A30" s="26" t="inlineStr">
        <is>
          <t>ACTIONS BY AUTHORITY</t>
        </is>
      </c>
      <c r="C30" s="27" t="inlineStr">
        <is>
          <t>Final</t>
        </is>
      </c>
      <c r="D30" s="27" t="inlineStr">
        <is>
          <t>Suggested</t>
        </is>
      </c>
    </row>
    <row r="31" ht="22" customHeight="1">
      <c r="B31" s="28" t="inlineStr">
        <is>
          <t>Agent acts</t>
        </is>
      </c>
      <c r="C31" s="29">
        <f>COUNTIF(I6:I25,"Agent acts")</f>
        <v/>
      </c>
      <c r="D31" s="30">
        <f>COUNTIF(G6:G25,"Agent acts")</f>
        <v/>
      </c>
    </row>
    <row r="32" ht="22" customHeight="1">
      <c r="B32" s="31" t="inlineStr">
        <is>
          <t>Preview and consent</t>
        </is>
      </c>
      <c r="C32" s="29">
        <f>COUNTIF(I6:I25,"Preview and consent")</f>
        <v/>
      </c>
      <c r="D32" s="30">
        <f>COUNTIF(G6:G25,"Preview and consent")</f>
        <v/>
      </c>
    </row>
    <row r="33" ht="22" customHeight="1">
      <c r="B33" s="32" t="inlineStr">
        <is>
          <t>Not allowed</t>
        </is>
      </c>
      <c r="C33" s="29">
        <f>COUNTIF(I6:I25,"Not allowed")</f>
        <v/>
      </c>
      <c r="D33" s="30">
        <f>COUNTIF(G6:G25,"Not allowed")</f>
        <v/>
      </c>
    </row>
    <row r="35" ht="24" customHeight="1">
      <c r="A35" s="13" t="inlineStr">
        <is>
          <t>Actions with no authority</t>
        </is>
      </c>
      <c r="C35" s="25">
        <f>SUMPRODUCT((B6:B25&lt;&gt;"")*(I6:I25=""))</f>
        <v/>
      </c>
      <c r="D35" s="19" t="inlineStr">
        <is>
          <t>Actions with a name and no authority. Fill in D and E, or choose an authority.</t>
        </is>
      </c>
    </row>
    <row r="36" ht="24" customHeight="1">
      <c r="A36" s="13" t="inlineStr">
        <is>
          <t>Undo not tested</t>
        </is>
      </c>
      <c r="C36" s="25">
        <f>SUMPRODUCT((B6:B25&lt;&gt;"")*(F6:F25&lt;&gt;"Yes"))</f>
        <v/>
      </c>
      <c r="D36" s="19" t="inlineStr">
        <is>
          <t>Actions where nobody has actually tried the undo.</t>
        </is>
      </c>
    </row>
    <row r="37" ht="24" customHeight="1">
      <c r="A37" s="13" t="inlineStr">
        <is>
          <t>Overrides</t>
        </is>
      </c>
      <c r="C37" s="25">
        <f>COUNTIF(J6:J25,"Yes")</f>
        <v/>
      </c>
      <c r="D37" s="19" t="inlineStr">
        <is>
          <t>Actions where the authority chosen differs from the suggestion.</t>
        </is>
      </c>
    </row>
    <row r="38" ht="24" customHeight="1">
      <c r="A38" s="13" t="inlineStr">
        <is>
          <t>Overrides with no reason</t>
        </is>
      </c>
      <c r="C38" s="25">
        <f>SUMPRODUCT((J6:J25="Yes")*(K6:K25=""))</f>
        <v/>
      </c>
      <c r="D38" s="19" t="inlineStr">
        <is>
          <t>Write the reason in column K.</t>
        </is>
      </c>
    </row>
    <row r="39" ht="30" customHeight="1">
      <c r="A39" s="13" t="inlineStr">
        <is>
          <t>Actions that need consent but the agent takes alone</t>
        </is>
      </c>
      <c r="C39" s="25">
        <f>COUNTIFS(G6:G25,"Preview and consent",I6:I25,"Agent acts")</f>
        <v/>
      </c>
      <c r="D39" s="19" t="inlineStr">
        <is>
          <t>Suggested Preview and consent, chosen Agent acts: an override that removed consent.</t>
        </is>
      </c>
    </row>
  </sheetData>
  <sheetProtection selectLockedCells="0" selectUnlockedCells="0" sheet="1" objects="0" insertRows="1" insertHyperlinks="1" autoFilter="1" scenarios="0" formatColumns="0" deleteColumns="1" insertColumns="1" pivotTables="1" deleteRows="1" formatCells="1" formatRows="0" sort="1"/>
  <mergeCells count="13">
    <mergeCell ref="D36:K36"/>
    <mergeCell ref="A38:B38"/>
    <mergeCell ref="A3:K3"/>
    <mergeCell ref="D39:K39"/>
    <mergeCell ref="A28:B28"/>
    <mergeCell ref="A2:K2"/>
    <mergeCell ref="A37:B37"/>
    <mergeCell ref="A36:B36"/>
    <mergeCell ref="D35:K35"/>
    <mergeCell ref="D38:K38"/>
    <mergeCell ref="D37:K37"/>
    <mergeCell ref="A39:B39"/>
    <mergeCell ref="A35:B35"/>
  </mergeCells>
  <conditionalFormatting sqref="G6:G25">
    <cfRule type="expression" priority="1" dxfId="0">
      <formula>G6="Agent acts"</formula>
    </cfRule>
    <cfRule type="expression" priority="2" dxfId="1">
      <formula>G6="Preview and consent"</formula>
    </cfRule>
    <cfRule type="expression" priority="3" dxfId="2">
      <formula>G6="Not allowed"</formula>
    </cfRule>
  </conditionalFormatting>
  <conditionalFormatting sqref="H6:H25">
    <cfRule type="expression" priority="4" dxfId="0">
      <formula>H6="Agent acts"</formula>
    </cfRule>
    <cfRule type="expression" priority="5" dxfId="1">
      <formula>H6="Preview and consent"</formula>
    </cfRule>
    <cfRule type="expression" priority="6" dxfId="2">
      <formula>H6="Not allowed"</formula>
    </cfRule>
  </conditionalFormatting>
  <conditionalFormatting sqref="I6:I25">
    <cfRule type="expression" priority="7" dxfId="0">
      <formula>I6="Agent acts"</formula>
    </cfRule>
    <cfRule type="expression" priority="8" dxfId="1">
      <formula>I6="Preview and consent"</formula>
    </cfRule>
    <cfRule type="expression" priority="9" dxfId="2">
      <formula>I6="Not allowed"</formula>
    </cfRule>
  </conditionalFormatting>
  <conditionalFormatting sqref="C35">
    <cfRule type="expression" priority="10" dxfId="3">
      <formula>C35&gt;0</formula>
    </cfRule>
  </conditionalFormatting>
  <conditionalFormatting sqref="C38">
    <cfRule type="expression" priority="11" dxfId="3">
      <formula>C38&gt;0</formula>
    </cfRule>
  </conditionalFormatting>
  <conditionalFormatting sqref="C39">
    <cfRule type="expression" priority="12" dxfId="3">
      <formula>C39&gt;0</formula>
    </cfRule>
  </conditionalFormatting>
  <dataValidations count="4">
    <dataValidation sqref="D6 D7 D8 D9 D10 D11 D12 D13 D14 D15 D16 D17 D18 D19 D20 D21 D22 D23 D24 D25" showDropDown="0" showInputMessage="0" showErrorMessage="0" allowBlank="1" errorTitle="Not an option" error="Pick one of the options in the list." type="list">
      <formula1>$Z$1:$Z$3</formula1>
    </dataValidation>
    <dataValidation sqref="E6 E7 E8 E9 E10 E11 E12 E13 E14 E15 E16 E17 E18 E19 E20 E21 E22 E23 E24 E25" showDropDown="0" showInputMessage="0" showErrorMessage="0" allowBlank="1" errorTitle="Not an option" error="Pick one of the options in the list." type="list">
      <formula1>$Z$5:$Z$8</formula1>
    </dataValidation>
    <dataValidation sqref="F6 F7 F8 F9 F10 F11 F12 F13 F14 F15 F16 F17 F18 F19 F20 F21 F22 F23 F24 F25" showDropDown="0" showInputMessage="0" showErrorMessage="0" allowBlank="1" errorTitle="Not an option" error="Pick one of the options in the list." type="list">
      <formula1>$Z$10:$Z$11</formula1>
    </dataValidation>
    <dataValidation sqref="H6 H7 H8 H9 H10 H11 H12 H13 H14 H15 H16 H17 H18 H19 H20 H21 H22 H23 H24 H25" showDropDown="0" showInputMessage="0" showErrorMessage="0" allowBlank="1" errorTitle="Not an option" error="Pick one of the options in the list." type="list">
      <formula1>$Z$13:$Z$15</formula1>
    </dataValidation>
  </dataValidations>
  <printOptions horizontalCentered="1"/>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183D32"/>
    <outlinePr summaryBelow="1" summaryRight="1"/>
    <pageSetUpPr fitToPage="1"/>
  </sheetPr>
  <dimension ref="A1:Z39"/>
  <sheetViews>
    <sheetView workbookViewId="0">
      <pane ySplit="6" topLeftCell="A7" activePane="bottomLeft" state="frozen"/>
      <selection pane="bottomLeft" activeCell="A1" sqref="A1"/>
    </sheetView>
  </sheetViews>
  <sheetFormatPr baseColWidth="8" defaultRowHeight="15"/>
  <cols>
    <col width="5" customWidth="1" min="1" max="1"/>
    <col width="30" customWidth="1" min="2" max="2"/>
    <col width="20" customWidth="1" min="3" max="3"/>
    <col width="11" customWidth="1" min="4" max="4"/>
    <col width="22" customWidth="1" min="5" max="5"/>
    <col width="14" customWidth="1" min="6" max="6"/>
    <col width="16" customWidth="1" min="7" max="7"/>
    <col width="20" customWidth="1" min="8" max="8"/>
    <col width="17" customWidth="1" min="9" max="9"/>
    <col width="20" customWidth="1" min="10" max="10"/>
    <col width="20" customWidth="1" min="11" max="11"/>
    <col width="12" customWidth="1" min="12" max="12"/>
    <col width="12" customWidth="1" min="13" max="13"/>
    <col width="36" customWidth="1" min="14" max="14"/>
    <col hidden="1" width="13" customWidth="1" min="25" max="25"/>
    <col hidden="1" width="13" customWidth="1" min="26" max="26"/>
  </cols>
  <sheetData>
    <row r="1" ht="28" customHeight="1">
      <c r="A1" s="18" t="inlineStr">
        <is>
          <t>2 · Authority Requirements</t>
        </is>
      </c>
      <c r="Z1" s="14" t="inlineStr">
        <is>
          <t>Yes</t>
        </is>
      </c>
    </row>
    <row r="2" ht="20" customHeight="1">
      <c r="A2" s="3" t="inlineStr">
        <is>
          <t>Does each authority level have what it needs?</t>
        </is>
      </c>
      <c r="Z2" s="14" t="inlineStr">
        <is>
          <t>No</t>
        </is>
      </c>
    </row>
    <row r="3" ht="30" customHeight="1">
      <c r="A3" s="19" t="inlineStr">
        <is>
          <t>Rows mirror the Action Inventory. Fill in only the columns for the row’s final authority; the others are greyed out. Each row names the first thing missing.</t>
        </is>
      </c>
    </row>
    <row r="4">
      <c r="Z4" s="14" t="inlineStr">
        <is>
          <t>Yes</t>
        </is>
      </c>
    </row>
    <row r="5" ht="20" customHeight="1">
      <c r="E5" s="33" t="inlineStr">
        <is>
          <t>Agent acts</t>
        </is>
      </c>
      <c r="F5" s="34" t="inlineStr">
        <is>
          <t>Preview and consent</t>
        </is>
      </c>
      <c r="L5" s="35" t="inlineStr">
        <is>
          <t>Not allowed</t>
        </is>
      </c>
      <c r="Z5" s="14" t="inlineStr">
        <is>
          <t>Partial</t>
        </is>
      </c>
    </row>
    <row r="6" ht="72" customHeight="1">
      <c r="A6" s="6" t="inlineStr">
        <is>
          <t>#</t>
        </is>
      </c>
      <c r="B6" s="6" t="inlineStr">
        <is>
          <t>Action</t>
        </is>
      </c>
      <c r="C6" s="6" t="inlineStr">
        <is>
          <t>Final authority</t>
        </is>
      </c>
      <c r="D6" s="6" t="inlineStr">
        <is>
          <t>Undo tested?</t>
        </is>
      </c>
      <c r="E6" s="6" t="inlineStr">
        <is>
          <t>Undo path</t>
        </is>
      </c>
      <c r="F6" s="6" t="inlineStr">
        <is>
          <t>Preview shows the full change?</t>
        </is>
      </c>
      <c r="G6" s="6" t="inlineStr">
        <is>
          <t>Preview says what can’t be undone?</t>
        </is>
      </c>
      <c r="H6" s="6" t="inlineStr">
        <is>
          <t>Who consents</t>
        </is>
      </c>
      <c r="I6" s="6" t="inlineStr">
        <is>
          <t>Consent is given per change (not a standing “always allow”)?</t>
        </is>
      </c>
      <c r="J6" s="6" t="inlineStr">
        <is>
          <t>Agent acts as that person, and the log records who approved?</t>
        </is>
      </c>
      <c r="K6" s="6" t="inlineStr">
        <is>
          <t>If consent is refused, the agent…</t>
        </is>
      </c>
      <c r="L6" s="6" t="inlineStr">
        <is>
          <t>Access removed?</t>
        </is>
      </c>
      <c r="M6" s="6" t="inlineStr">
        <is>
          <t>Authority ready?</t>
        </is>
      </c>
      <c r="N6" s="6" t="inlineStr">
        <is>
          <t>Why not ready</t>
        </is>
      </c>
      <c r="Z6" s="14" t="inlineStr">
        <is>
          <t>No</t>
        </is>
      </c>
    </row>
    <row r="7" ht="30" customHeight="1">
      <c r="A7" s="20" t="n">
        <v>1</v>
      </c>
      <c r="B7" s="8">
        <f>IF('1 · Action Inventory'!B6="","",'1 · Action Inventory'!B6)</f>
        <v/>
      </c>
      <c r="C7" s="23">
        <f>IF('1 · Action Inventory'!I6="","",'1 · Action Inventory'!I6)</f>
        <v/>
      </c>
      <c r="D7" s="23">
        <f>IF('1 · Action Inventory'!F6="","",'1 · Action Inventory'!F6)</f>
        <v/>
      </c>
      <c r="E7" s="21" t="n"/>
      <c r="F7" s="22" t="n"/>
      <c r="G7" s="22" t="n"/>
      <c r="H7" s="21" t="n"/>
      <c r="I7" s="22" t="n"/>
      <c r="J7" s="22" t="n"/>
      <c r="K7" s="22" t="n"/>
      <c r="L7" s="22" t="n"/>
      <c r="M7" s="23">
        <f>IF(C7="","",IF(N7="","Ready","Not ready"))</f>
        <v/>
      </c>
      <c r="N7" s="8">
        <f>IF(C7="","",IF(C7="Agent acts",IF(E7="","No undo path",IF(D7&lt;&gt;"Yes","Undo not tested","")),IF(C7="Preview and consent",IF(F7&lt;&gt;"Yes","Preview doesn’t show the full change",IF(G7&lt;&gt;"Yes","Preview doesn’t say what can’t be undone",IF(H7="","No named person gives consent",IF(I7&lt;&gt;"Yes","Consent is a standing default, not per change",IF(J7&lt;&gt;"Yes","Agent doesn’t act as the consenting person",IF(AND(K7&lt;&gt;"Changes nothing",K7&lt;&gt;"Revises and asks again"),"No safe outcome when consent is refused","")))))),IF(C7="Not allowed",IF(L7&lt;&gt;"Yes","Access not removed",""),""))))</f>
        <v/>
      </c>
    </row>
    <row r="8" ht="30" customHeight="1">
      <c r="A8" s="20" t="n">
        <v>2</v>
      </c>
      <c r="B8" s="8">
        <f>IF('1 · Action Inventory'!B7="","",'1 · Action Inventory'!B7)</f>
        <v/>
      </c>
      <c r="C8" s="23">
        <f>IF('1 · Action Inventory'!I7="","",'1 · Action Inventory'!I7)</f>
        <v/>
      </c>
      <c r="D8" s="23">
        <f>IF('1 · Action Inventory'!F7="","",'1 · Action Inventory'!F7)</f>
        <v/>
      </c>
      <c r="E8" s="21" t="n"/>
      <c r="F8" s="22" t="n"/>
      <c r="G8" s="22" t="n"/>
      <c r="H8" s="21" t="n"/>
      <c r="I8" s="22" t="n"/>
      <c r="J8" s="22" t="n"/>
      <c r="K8" s="22" t="n"/>
      <c r="L8" s="22" t="n"/>
      <c r="M8" s="23">
        <f>IF(C8="","",IF(N8="","Ready","Not ready"))</f>
        <v/>
      </c>
      <c r="N8" s="8">
        <f>IF(C8="","",IF(C8="Agent acts",IF(E8="","No undo path",IF(D8&lt;&gt;"Yes","Undo not tested","")),IF(C8="Preview and consent",IF(F8&lt;&gt;"Yes","Preview doesn’t show the full change",IF(G8&lt;&gt;"Yes","Preview doesn’t say what can’t be undone",IF(H8="","No named person gives consent",IF(I8&lt;&gt;"Yes","Consent is a standing default, not per change",IF(J8&lt;&gt;"Yes","Agent doesn’t act as the consenting person",IF(AND(K8&lt;&gt;"Changes nothing",K8&lt;&gt;"Revises and asks again"),"No safe outcome when consent is refused","")))))),IF(C8="Not allowed",IF(L8&lt;&gt;"Yes","Access not removed",""),""))))</f>
        <v/>
      </c>
      <c r="Z8" s="14" t="inlineStr">
        <is>
          <t>Changes nothing</t>
        </is>
      </c>
    </row>
    <row r="9" ht="30" customHeight="1">
      <c r="A9" s="20" t="n">
        <v>3</v>
      </c>
      <c r="B9" s="8">
        <f>IF('1 · Action Inventory'!B8="","",'1 · Action Inventory'!B8)</f>
        <v/>
      </c>
      <c r="C9" s="23">
        <f>IF('1 · Action Inventory'!I8="","",'1 · Action Inventory'!I8)</f>
        <v/>
      </c>
      <c r="D9" s="23">
        <f>IF('1 · Action Inventory'!F8="","",'1 · Action Inventory'!F8)</f>
        <v/>
      </c>
      <c r="E9" s="21" t="n"/>
      <c r="F9" s="22" t="n"/>
      <c r="G9" s="22" t="n"/>
      <c r="H9" s="21" t="n"/>
      <c r="I9" s="22" t="n"/>
      <c r="J9" s="22" t="n"/>
      <c r="K9" s="22" t="n"/>
      <c r="L9" s="22" t="n"/>
      <c r="M9" s="23">
        <f>IF(C9="","",IF(N9="","Ready","Not ready"))</f>
        <v/>
      </c>
      <c r="N9" s="8">
        <f>IF(C9="","",IF(C9="Agent acts",IF(E9="","No undo path",IF(D9&lt;&gt;"Yes","Undo not tested","")),IF(C9="Preview and consent",IF(F9&lt;&gt;"Yes","Preview doesn’t show the full change",IF(G9&lt;&gt;"Yes","Preview doesn’t say what can’t be undone",IF(H9="","No named person gives consent",IF(I9&lt;&gt;"Yes","Consent is a standing default, not per change",IF(J9&lt;&gt;"Yes","Agent doesn’t act as the consenting person",IF(AND(K9&lt;&gt;"Changes nothing",K9&lt;&gt;"Revises and asks again"),"No safe outcome when consent is refused","")))))),IF(C9="Not allowed",IF(L9&lt;&gt;"Yes","Access not removed",""),""))))</f>
        <v/>
      </c>
      <c r="Z9" s="14" t="inlineStr">
        <is>
          <t>Revises and asks again</t>
        </is>
      </c>
    </row>
    <row r="10" ht="30" customHeight="1">
      <c r="A10" s="20" t="n">
        <v>4</v>
      </c>
      <c r="B10" s="8">
        <f>IF('1 · Action Inventory'!B9="","",'1 · Action Inventory'!B9)</f>
        <v/>
      </c>
      <c r="C10" s="23">
        <f>IF('1 · Action Inventory'!I9="","",'1 · Action Inventory'!I9)</f>
        <v/>
      </c>
      <c r="D10" s="23">
        <f>IF('1 · Action Inventory'!F9="","",'1 · Action Inventory'!F9)</f>
        <v/>
      </c>
      <c r="E10" s="21" t="n"/>
      <c r="F10" s="22" t="n"/>
      <c r="G10" s="22" t="n"/>
      <c r="H10" s="21" t="n"/>
      <c r="I10" s="22" t="n"/>
      <c r="J10" s="22" t="n"/>
      <c r="K10" s="22" t="n"/>
      <c r="L10" s="22" t="n"/>
      <c r="M10" s="23">
        <f>IF(C10="","",IF(N10="","Ready","Not ready"))</f>
        <v/>
      </c>
      <c r="N10" s="8">
        <f>IF(C10="","",IF(C10="Agent acts",IF(E10="","No undo path",IF(D10&lt;&gt;"Yes","Undo not tested","")),IF(C10="Preview and consent",IF(F10&lt;&gt;"Yes","Preview doesn’t show the full change",IF(G10&lt;&gt;"Yes","Preview doesn’t say what can’t be undone",IF(H10="","No named person gives consent",IF(I10&lt;&gt;"Yes","Consent is a standing default, not per change",IF(J10&lt;&gt;"Yes","Agent doesn’t act as the consenting person",IF(AND(K10&lt;&gt;"Changes nothing",K10&lt;&gt;"Revises and asks again"),"No safe outcome when consent is refused","")))))),IF(C10="Not allowed",IF(L10&lt;&gt;"Yes","Access not removed",""),""))))</f>
        <v/>
      </c>
      <c r="Z10" s="14" t="inlineStr">
        <is>
          <t>Proceeds anyway</t>
        </is>
      </c>
    </row>
    <row r="11" ht="30" customHeight="1">
      <c r="A11" s="20" t="n">
        <v>5</v>
      </c>
      <c r="B11" s="8">
        <f>IF('1 · Action Inventory'!B10="","",'1 · Action Inventory'!B10)</f>
        <v/>
      </c>
      <c r="C11" s="23">
        <f>IF('1 · Action Inventory'!I10="","",'1 · Action Inventory'!I10)</f>
        <v/>
      </c>
      <c r="D11" s="23">
        <f>IF('1 · Action Inventory'!F10="","",'1 · Action Inventory'!F10)</f>
        <v/>
      </c>
      <c r="E11" s="21" t="n"/>
      <c r="F11" s="22" t="n"/>
      <c r="G11" s="22" t="n"/>
      <c r="H11" s="21" t="n"/>
      <c r="I11" s="22" t="n"/>
      <c r="J11" s="22" t="n"/>
      <c r="K11" s="22" t="n"/>
      <c r="L11" s="22" t="n"/>
      <c r="M11" s="23">
        <f>IF(C11="","",IF(N11="","Ready","Not ready"))</f>
        <v/>
      </c>
      <c r="N11" s="8">
        <f>IF(C11="","",IF(C11="Agent acts",IF(E11="","No undo path",IF(D11&lt;&gt;"Yes","Undo not tested","")),IF(C11="Preview and consent",IF(F11&lt;&gt;"Yes","Preview doesn’t show the full change",IF(G11&lt;&gt;"Yes","Preview doesn’t say what can’t be undone",IF(H11="","No named person gives consent",IF(I11&lt;&gt;"Yes","Consent is a standing default, not per change",IF(J11&lt;&gt;"Yes","Agent doesn’t act as the consenting person",IF(AND(K11&lt;&gt;"Changes nothing",K11&lt;&gt;"Revises and asks again"),"No safe outcome when consent is refused","")))))),IF(C11="Not allowed",IF(L11&lt;&gt;"Yes","Access not removed",""),""))))</f>
        <v/>
      </c>
      <c r="Z11" s="14" t="inlineStr">
        <is>
          <t>Not decided</t>
        </is>
      </c>
    </row>
    <row r="12" ht="30" customHeight="1">
      <c r="A12" s="20" t="n">
        <v>6</v>
      </c>
      <c r="B12" s="8">
        <f>IF('1 · Action Inventory'!B11="","",'1 · Action Inventory'!B11)</f>
        <v/>
      </c>
      <c r="C12" s="23">
        <f>IF('1 · Action Inventory'!I11="","",'1 · Action Inventory'!I11)</f>
        <v/>
      </c>
      <c r="D12" s="23">
        <f>IF('1 · Action Inventory'!F11="","",'1 · Action Inventory'!F11)</f>
        <v/>
      </c>
      <c r="E12" s="21" t="n"/>
      <c r="F12" s="22" t="n"/>
      <c r="G12" s="22" t="n"/>
      <c r="H12" s="21" t="n"/>
      <c r="I12" s="22" t="n"/>
      <c r="J12" s="22" t="n"/>
      <c r="K12" s="22" t="n"/>
      <c r="L12" s="22" t="n"/>
      <c r="M12" s="23">
        <f>IF(C12="","",IF(N12="","Ready","Not ready"))</f>
        <v/>
      </c>
      <c r="N12" s="8">
        <f>IF(C12="","",IF(C12="Agent acts",IF(E12="","No undo path",IF(D12&lt;&gt;"Yes","Undo not tested","")),IF(C12="Preview and consent",IF(F12&lt;&gt;"Yes","Preview doesn’t show the full change",IF(G12&lt;&gt;"Yes","Preview doesn’t say what can’t be undone",IF(H12="","No named person gives consent",IF(I12&lt;&gt;"Yes","Consent is a standing default, not per change",IF(J12&lt;&gt;"Yes","Agent doesn’t act as the consenting person",IF(AND(K12&lt;&gt;"Changes nothing",K12&lt;&gt;"Revises and asks again"),"No safe outcome when consent is refused","")))))),IF(C12="Not allowed",IF(L12&lt;&gt;"Yes","Access not removed",""),""))))</f>
        <v/>
      </c>
    </row>
    <row r="13" ht="30" customHeight="1">
      <c r="A13" s="20" t="n">
        <v>7</v>
      </c>
      <c r="B13" s="8">
        <f>IF('1 · Action Inventory'!B12="","",'1 · Action Inventory'!B12)</f>
        <v/>
      </c>
      <c r="C13" s="23">
        <f>IF('1 · Action Inventory'!I12="","",'1 · Action Inventory'!I12)</f>
        <v/>
      </c>
      <c r="D13" s="23">
        <f>IF('1 · Action Inventory'!F12="","",'1 · Action Inventory'!F12)</f>
        <v/>
      </c>
      <c r="E13" s="21" t="n"/>
      <c r="F13" s="22" t="n"/>
      <c r="G13" s="22" t="n"/>
      <c r="H13" s="21" t="n"/>
      <c r="I13" s="22" t="n"/>
      <c r="J13" s="22" t="n"/>
      <c r="K13" s="22" t="n"/>
      <c r="L13" s="22" t="n"/>
      <c r="M13" s="23">
        <f>IF(C13="","",IF(N13="","Ready","Not ready"))</f>
        <v/>
      </c>
      <c r="N13" s="8">
        <f>IF(C13="","",IF(C13="Agent acts",IF(E13="","No undo path",IF(D13&lt;&gt;"Yes","Undo not tested","")),IF(C13="Preview and consent",IF(F13&lt;&gt;"Yes","Preview doesn’t show the full change",IF(G13&lt;&gt;"Yes","Preview doesn’t say what can’t be undone",IF(H13="","No named person gives consent",IF(I13&lt;&gt;"Yes","Consent is a standing default, not per change",IF(J13&lt;&gt;"Yes","Agent doesn’t act as the consenting person",IF(AND(K13&lt;&gt;"Changes nothing",K13&lt;&gt;"Revises and asks again"),"No safe outcome when consent is refused","")))))),IF(C13="Not allowed",IF(L13&lt;&gt;"Yes","Access not removed",""),""))))</f>
        <v/>
      </c>
    </row>
    <row r="14" ht="30" customHeight="1">
      <c r="A14" s="20" t="n">
        <v>8</v>
      </c>
      <c r="B14" s="8">
        <f>IF('1 · Action Inventory'!B13="","",'1 · Action Inventory'!B13)</f>
        <v/>
      </c>
      <c r="C14" s="23">
        <f>IF('1 · Action Inventory'!I13="","",'1 · Action Inventory'!I13)</f>
        <v/>
      </c>
      <c r="D14" s="23">
        <f>IF('1 · Action Inventory'!F13="","",'1 · Action Inventory'!F13)</f>
        <v/>
      </c>
      <c r="E14" s="21" t="n"/>
      <c r="F14" s="22" t="n"/>
      <c r="G14" s="22" t="n"/>
      <c r="H14" s="21" t="n"/>
      <c r="I14" s="22" t="n"/>
      <c r="J14" s="22" t="n"/>
      <c r="K14" s="22" t="n"/>
      <c r="L14" s="22" t="n"/>
      <c r="M14" s="23">
        <f>IF(C14="","",IF(N14="","Ready","Not ready"))</f>
        <v/>
      </c>
      <c r="N14" s="8">
        <f>IF(C14="","",IF(C14="Agent acts",IF(E14="","No undo path",IF(D14&lt;&gt;"Yes","Undo not tested","")),IF(C14="Preview and consent",IF(F14&lt;&gt;"Yes","Preview doesn’t show the full change",IF(G14&lt;&gt;"Yes","Preview doesn’t say what can’t be undone",IF(H14="","No named person gives consent",IF(I14&lt;&gt;"Yes","Consent is a standing default, not per change",IF(J14&lt;&gt;"Yes","Agent doesn’t act as the consenting person",IF(AND(K14&lt;&gt;"Changes nothing",K14&lt;&gt;"Revises and asks again"),"No safe outcome when consent is refused","")))))),IF(C14="Not allowed",IF(L14&lt;&gt;"Yes","Access not removed",""),""))))</f>
        <v/>
      </c>
    </row>
    <row r="15" ht="30" customHeight="1">
      <c r="A15" s="20" t="n">
        <v>9</v>
      </c>
      <c r="B15" s="8">
        <f>IF('1 · Action Inventory'!B14="","",'1 · Action Inventory'!B14)</f>
        <v/>
      </c>
      <c r="C15" s="23">
        <f>IF('1 · Action Inventory'!I14="","",'1 · Action Inventory'!I14)</f>
        <v/>
      </c>
      <c r="D15" s="23">
        <f>IF('1 · Action Inventory'!F14="","",'1 · Action Inventory'!F14)</f>
        <v/>
      </c>
      <c r="E15" s="21" t="n"/>
      <c r="F15" s="22" t="n"/>
      <c r="G15" s="22" t="n"/>
      <c r="H15" s="21" t="n"/>
      <c r="I15" s="22" t="n"/>
      <c r="J15" s="22" t="n"/>
      <c r="K15" s="22" t="n"/>
      <c r="L15" s="22" t="n"/>
      <c r="M15" s="23">
        <f>IF(C15="","",IF(N15="","Ready","Not ready"))</f>
        <v/>
      </c>
      <c r="N15" s="8">
        <f>IF(C15="","",IF(C15="Agent acts",IF(E15="","No undo path",IF(D15&lt;&gt;"Yes","Undo not tested","")),IF(C15="Preview and consent",IF(F15&lt;&gt;"Yes","Preview doesn’t show the full change",IF(G15&lt;&gt;"Yes","Preview doesn’t say what can’t be undone",IF(H15="","No named person gives consent",IF(I15&lt;&gt;"Yes","Consent is a standing default, not per change",IF(J15&lt;&gt;"Yes","Agent doesn’t act as the consenting person",IF(AND(K15&lt;&gt;"Changes nothing",K15&lt;&gt;"Revises and asks again"),"No safe outcome when consent is refused","")))))),IF(C15="Not allowed",IF(L15&lt;&gt;"Yes","Access not removed",""),""))))</f>
        <v/>
      </c>
    </row>
    <row r="16" ht="30" customHeight="1">
      <c r="A16" s="20" t="n">
        <v>10</v>
      </c>
      <c r="B16" s="8">
        <f>IF('1 · Action Inventory'!B15="","",'1 · Action Inventory'!B15)</f>
        <v/>
      </c>
      <c r="C16" s="23">
        <f>IF('1 · Action Inventory'!I15="","",'1 · Action Inventory'!I15)</f>
        <v/>
      </c>
      <c r="D16" s="23">
        <f>IF('1 · Action Inventory'!F15="","",'1 · Action Inventory'!F15)</f>
        <v/>
      </c>
      <c r="E16" s="21" t="n"/>
      <c r="F16" s="22" t="n"/>
      <c r="G16" s="22" t="n"/>
      <c r="H16" s="21" t="n"/>
      <c r="I16" s="22" t="n"/>
      <c r="J16" s="22" t="n"/>
      <c r="K16" s="22" t="n"/>
      <c r="L16" s="22" t="n"/>
      <c r="M16" s="23">
        <f>IF(C16="","",IF(N16="","Ready","Not ready"))</f>
        <v/>
      </c>
      <c r="N16" s="8">
        <f>IF(C16="","",IF(C16="Agent acts",IF(E16="","No undo path",IF(D16&lt;&gt;"Yes","Undo not tested","")),IF(C16="Preview and consent",IF(F16&lt;&gt;"Yes","Preview doesn’t show the full change",IF(G16&lt;&gt;"Yes","Preview doesn’t say what can’t be undone",IF(H16="","No named person gives consent",IF(I16&lt;&gt;"Yes","Consent is a standing default, not per change",IF(J16&lt;&gt;"Yes","Agent doesn’t act as the consenting person",IF(AND(K16&lt;&gt;"Changes nothing",K16&lt;&gt;"Revises and asks again"),"No safe outcome when consent is refused","")))))),IF(C16="Not allowed",IF(L16&lt;&gt;"Yes","Access not removed",""),""))))</f>
        <v/>
      </c>
    </row>
    <row r="17" ht="30" customHeight="1">
      <c r="A17" s="20" t="n">
        <v>11</v>
      </c>
      <c r="B17" s="8">
        <f>IF('1 · Action Inventory'!B16="","",'1 · Action Inventory'!B16)</f>
        <v/>
      </c>
      <c r="C17" s="23">
        <f>IF('1 · Action Inventory'!I16="","",'1 · Action Inventory'!I16)</f>
        <v/>
      </c>
      <c r="D17" s="23">
        <f>IF('1 · Action Inventory'!F16="","",'1 · Action Inventory'!F16)</f>
        <v/>
      </c>
      <c r="E17" s="21" t="n"/>
      <c r="F17" s="22" t="n"/>
      <c r="G17" s="22" t="n"/>
      <c r="H17" s="21" t="n"/>
      <c r="I17" s="22" t="n"/>
      <c r="J17" s="22" t="n"/>
      <c r="K17" s="22" t="n"/>
      <c r="L17" s="22" t="n"/>
      <c r="M17" s="23">
        <f>IF(C17="","",IF(N17="","Ready","Not ready"))</f>
        <v/>
      </c>
      <c r="N17" s="8">
        <f>IF(C17="","",IF(C17="Agent acts",IF(E17="","No undo path",IF(D17&lt;&gt;"Yes","Undo not tested","")),IF(C17="Preview and consent",IF(F17&lt;&gt;"Yes","Preview doesn’t show the full change",IF(G17&lt;&gt;"Yes","Preview doesn’t say what can’t be undone",IF(H17="","No named person gives consent",IF(I17&lt;&gt;"Yes","Consent is a standing default, not per change",IF(J17&lt;&gt;"Yes","Agent doesn’t act as the consenting person",IF(AND(K17&lt;&gt;"Changes nothing",K17&lt;&gt;"Revises and asks again"),"No safe outcome when consent is refused","")))))),IF(C17="Not allowed",IF(L17&lt;&gt;"Yes","Access not removed",""),""))))</f>
        <v/>
      </c>
    </row>
    <row r="18" ht="30" customHeight="1">
      <c r="A18" s="20" t="n">
        <v>12</v>
      </c>
      <c r="B18" s="8">
        <f>IF('1 · Action Inventory'!B17="","",'1 · Action Inventory'!B17)</f>
        <v/>
      </c>
      <c r="C18" s="23">
        <f>IF('1 · Action Inventory'!I17="","",'1 · Action Inventory'!I17)</f>
        <v/>
      </c>
      <c r="D18" s="23">
        <f>IF('1 · Action Inventory'!F17="","",'1 · Action Inventory'!F17)</f>
        <v/>
      </c>
      <c r="E18" s="21" t="n"/>
      <c r="F18" s="22" t="n"/>
      <c r="G18" s="22" t="n"/>
      <c r="H18" s="21" t="n"/>
      <c r="I18" s="22" t="n"/>
      <c r="J18" s="22" t="n"/>
      <c r="K18" s="22" t="n"/>
      <c r="L18" s="22" t="n"/>
      <c r="M18" s="23">
        <f>IF(C18="","",IF(N18="","Ready","Not ready"))</f>
        <v/>
      </c>
      <c r="N18" s="8">
        <f>IF(C18="","",IF(C18="Agent acts",IF(E18="","No undo path",IF(D18&lt;&gt;"Yes","Undo not tested","")),IF(C18="Preview and consent",IF(F18&lt;&gt;"Yes","Preview doesn’t show the full change",IF(G18&lt;&gt;"Yes","Preview doesn’t say what can’t be undone",IF(H18="","No named person gives consent",IF(I18&lt;&gt;"Yes","Consent is a standing default, not per change",IF(J18&lt;&gt;"Yes","Agent doesn’t act as the consenting person",IF(AND(K18&lt;&gt;"Changes nothing",K18&lt;&gt;"Revises and asks again"),"No safe outcome when consent is refused","")))))),IF(C18="Not allowed",IF(L18&lt;&gt;"Yes","Access not removed",""),""))))</f>
        <v/>
      </c>
    </row>
    <row r="19" ht="30" customHeight="1">
      <c r="A19" s="20" t="n">
        <v>13</v>
      </c>
      <c r="B19" s="8">
        <f>IF('1 · Action Inventory'!B18="","",'1 · Action Inventory'!B18)</f>
        <v/>
      </c>
      <c r="C19" s="23">
        <f>IF('1 · Action Inventory'!I18="","",'1 · Action Inventory'!I18)</f>
        <v/>
      </c>
      <c r="D19" s="23">
        <f>IF('1 · Action Inventory'!F18="","",'1 · Action Inventory'!F18)</f>
        <v/>
      </c>
      <c r="E19" s="21" t="n"/>
      <c r="F19" s="22" t="n"/>
      <c r="G19" s="22" t="n"/>
      <c r="H19" s="21" t="n"/>
      <c r="I19" s="22" t="n"/>
      <c r="J19" s="22" t="n"/>
      <c r="K19" s="22" t="n"/>
      <c r="L19" s="22" t="n"/>
      <c r="M19" s="23">
        <f>IF(C19="","",IF(N19="","Ready","Not ready"))</f>
        <v/>
      </c>
      <c r="N19" s="8">
        <f>IF(C19="","",IF(C19="Agent acts",IF(E19="","No undo path",IF(D19&lt;&gt;"Yes","Undo not tested","")),IF(C19="Preview and consent",IF(F19&lt;&gt;"Yes","Preview doesn’t show the full change",IF(G19&lt;&gt;"Yes","Preview doesn’t say what can’t be undone",IF(H19="","No named person gives consent",IF(I19&lt;&gt;"Yes","Consent is a standing default, not per change",IF(J19&lt;&gt;"Yes","Agent doesn’t act as the consenting person",IF(AND(K19&lt;&gt;"Changes nothing",K19&lt;&gt;"Revises and asks again"),"No safe outcome when consent is refused","")))))),IF(C19="Not allowed",IF(L19&lt;&gt;"Yes","Access not removed",""),""))))</f>
        <v/>
      </c>
    </row>
    <row r="20" ht="30" customHeight="1">
      <c r="A20" s="20" t="n">
        <v>14</v>
      </c>
      <c r="B20" s="8">
        <f>IF('1 · Action Inventory'!B19="","",'1 · Action Inventory'!B19)</f>
        <v/>
      </c>
      <c r="C20" s="23">
        <f>IF('1 · Action Inventory'!I19="","",'1 · Action Inventory'!I19)</f>
        <v/>
      </c>
      <c r="D20" s="23">
        <f>IF('1 · Action Inventory'!F19="","",'1 · Action Inventory'!F19)</f>
        <v/>
      </c>
      <c r="E20" s="21" t="n"/>
      <c r="F20" s="22" t="n"/>
      <c r="G20" s="22" t="n"/>
      <c r="H20" s="21" t="n"/>
      <c r="I20" s="22" t="n"/>
      <c r="J20" s="22" t="n"/>
      <c r="K20" s="22" t="n"/>
      <c r="L20" s="22" t="n"/>
      <c r="M20" s="23">
        <f>IF(C20="","",IF(N20="","Ready","Not ready"))</f>
        <v/>
      </c>
      <c r="N20" s="8">
        <f>IF(C20="","",IF(C20="Agent acts",IF(E20="","No undo path",IF(D20&lt;&gt;"Yes","Undo not tested","")),IF(C20="Preview and consent",IF(F20&lt;&gt;"Yes","Preview doesn’t show the full change",IF(G20&lt;&gt;"Yes","Preview doesn’t say what can’t be undone",IF(H20="","No named person gives consent",IF(I20&lt;&gt;"Yes","Consent is a standing default, not per change",IF(J20&lt;&gt;"Yes","Agent doesn’t act as the consenting person",IF(AND(K20&lt;&gt;"Changes nothing",K20&lt;&gt;"Revises and asks again"),"No safe outcome when consent is refused","")))))),IF(C20="Not allowed",IF(L20&lt;&gt;"Yes","Access not removed",""),""))))</f>
        <v/>
      </c>
    </row>
    <row r="21" ht="30" customHeight="1">
      <c r="A21" s="20" t="n">
        <v>15</v>
      </c>
      <c r="B21" s="8">
        <f>IF('1 · Action Inventory'!B20="","",'1 · Action Inventory'!B20)</f>
        <v/>
      </c>
      <c r="C21" s="23">
        <f>IF('1 · Action Inventory'!I20="","",'1 · Action Inventory'!I20)</f>
        <v/>
      </c>
      <c r="D21" s="23">
        <f>IF('1 · Action Inventory'!F20="","",'1 · Action Inventory'!F20)</f>
        <v/>
      </c>
      <c r="E21" s="21" t="n"/>
      <c r="F21" s="22" t="n"/>
      <c r="G21" s="22" t="n"/>
      <c r="H21" s="21" t="n"/>
      <c r="I21" s="22" t="n"/>
      <c r="J21" s="22" t="n"/>
      <c r="K21" s="22" t="n"/>
      <c r="L21" s="22" t="n"/>
      <c r="M21" s="23">
        <f>IF(C21="","",IF(N21="","Ready","Not ready"))</f>
        <v/>
      </c>
      <c r="N21" s="8">
        <f>IF(C21="","",IF(C21="Agent acts",IF(E21="","No undo path",IF(D21&lt;&gt;"Yes","Undo not tested","")),IF(C21="Preview and consent",IF(F21&lt;&gt;"Yes","Preview doesn’t show the full change",IF(G21&lt;&gt;"Yes","Preview doesn’t say what can’t be undone",IF(H21="","No named person gives consent",IF(I21&lt;&gt;"Yes","Consent is a standing default, not per change",IF(J21&lt;&gt;"Yes","Agent doesn’t act as the consenting person",IF(AND(K21&lt;&gt;"Changes nothing",K21&lt;&gt;"Revises and asks again"),"No safe outcome when consent is refused","")))))),IF(C21="Not allowed",IF(L21&lt;&gt;"Yes","Access not removed",""),""))))</f>
        <v/>
      </c>
    </row>
    <row r="22" ht="30" customHeight="1">
      <c r="A22" s="20" t="n">
        <v>16</v>
      </c>
      <c r="B22" s="8">
        <f>IF('1 · Action Inventory'!B21="","",'1 · Action Inventory'!B21)</f>
        <v/>
      </c>
      <c r="C22" s="23">
        <f>IF('1 · Action Inventory'!I21="","",'1 · Action Inventory'!I21)</f>
        <v/>
      </c>
      <c r="D22" s="23">
        <f>IF('1 · Action Inventory'!F21="","",'1 · Action Inventory'!F21)</f>
        <v/>
      </c>
      <c r="E22" s="21" t="n"/>
      <c r="F22" s="22" t="n"/>
      <c r="G22" s="22" t="n"/>
      <c r="H22" s="21" t="n"/>
      <c r="I22" s="22" t="n"/>
      <c r="J22" s="22" t="n"/>
      <c r="K22" s="22" t="n"/>
      <c r="L22" s="22" t="n"/>
      <c r="M22" s="23">
        <f>IF(C22="","",IF(N22="","Ready","Not ready"))</f>
        <v/>
      </c>
      <c r="N22" s="8">
        <f>IF(C22="","",IF(C22="Agent acts",IF(E22="","No undo path",IF(D22&lt;&gt;"Yes","Undo not tested","")),IF(C22="Preview and consent",IF(F22&lt;&gt;"Yes","Preview doesn’t show the full change",IF(G22&lt;&gt;"Yes","Preview doesn’t say what can’t be undone",IF(H22="","No named person gives consent",IF(I22&lt;&gt;"Yes","Consent is a standing default, not per change",IF(J22&lt;&gt;"Yes","Agent doesn’t act as the consenting person",IF(AND(K22&lt;&gt;"Changes nothing",K22&lt;&gt;"Revises and asks again"),"No safe outcome when consent is refused","")))))),IF(C22="Not allowed",IF(L22&lt;&gt;"Yes","Access not removed",""),""))))</f>
        <v/>
      </c>
    </row>
    <row r="23" ht="30" customHeight="1">
      <c r="A23" s="20" t="n">
        <v>17</v>
      </c>
      <c r="B23" s="8">
        <f>IF('1 · Action Inventory'!B22="","",'1 · Action Inventory'!B22)</f>
        <v/>
      </c>
      <c r="C23" s="23">
        <f>IF('1 · Action Inventory'!I22="","",'1 · Action Inventory'!I22)</f>
        <v/>
      </c>
      <c r="D23" s="23">
        <f>IF('1 · Action Inventory'!F22="","",'1 · Action Inventory'!F22)</f>
        <v/>
      </c>
      <c r="E23" s="21" t="n"/>
      <c r="F23" s="22" t="n"/>
      <c r="G23" s="22" t="n"/>
      <c r="H23" s="21" t="n"/>
      <c r="I23" s="22" t="n"/>
      <c r="J23" s="22" t="n"/>
      <c r="K23" s="22" t="n"/>
      <c r="L23" s="22" t="n"/>
      <c r="M23" s="23">
        <f>IF(C23="","",IF(N23="","Ready","Not ready"))</f>
        <v/>
      </c>
      <c r="N23" s="8">
        <f>IF(C23="","",IF(C23="Agent acts",IF(E23="","No undo path",IF(D23&lt;&gt;"Yes","Undo not tested","")),IF(C23="Preview and consent",IF(F23&lt;&gt;"Yes","Preview doesn’t show the full change",IF(G23&lt;&gt;"Yes","Preview doesn’t say what can’t be undone",IF(H23="","No named person gives consent",IF(I23&lt;&gt;"Yes","Consent is a standing default, not per change",IF(J23&lt;&gt;"Yes","Agent doesn’t act as the consenting person",IF(AND(K23&lt;&gt;"Changes nothing",K23&lt;&gt;"Revises and asks again"),"No safe outcome when consent is refused","")))))),IF(C23="Not allowed",IF(L23&lt;&gt;"Yes","Access not removed",""),""))))</f>
        <v/>
      </c>
    </row>
    <row r="24" ht="30" customHeight="1">
      <c r="A24" s="20" t="n">
        <v>18</v>
      </c>
      <c r="B24" s="8">
        <f>IF('1 · Action Inventory'!B23="","",'1 · Action Inventory'!B23)</f>
        <v/>
      </c>
      <c r="C24" s="23">
        <f>IF('1 · Action Inventory'!I23="","",'1 · Action Inventory'!I23)</f>
        <v/>
      </c>
      <c r="D24" s="23">
        <f>IF('1 · Action Inventory'!F23="","",'1 · Action Inventory'!F23)</f>
        <v/>
      </c>
      <c r="E24" s="21" t="n"/>
      <c r="F24" s="22" t="n"/>
      <c r="G24" s="22" t="n"/>
      <c r="H24" s="21" t="n"/>
      <c r="I24" s="22" t="n"/>
      <c r="J24" s="22" t="n"/>
      <c r="K24" s="22" t="n"/>
      <c r="L24" s="22" t="n"/>
      <c r="M24" s="23">
        <f>IF(C24="","",IF(N24="","Ready","Not ready"))</f>
        <v/>
      </c>
      <c r="N24" s="8">
        <f>IF(C24="","",IF(C24="Agent acts",IF(E24="","No undo path",IF(D24&lt;&gt;"Yes","Undo not tested","")),IF(C24="Preview and consent",IF(F24&lt;&gt;"Yes","Preview doesn’t show the full change",IF(G24&lt;&gt;"Yes","Preview doesn’t say what can’t be undone",IF(H24="","No named person gives consent",IF(I24&lt;&gt;"Yes","Consent is a standing default, not per change",IF(J24&lt;&gt;"Yes","Agent doesn’t act as the consenting person",IF(AND(K24&lt;&gt;"Changes nothing",K24&lt;&gt;"Revises and asks again"),"No safe outcome when consent is refused","")))))),IF(C24="Not allowed",IF(L24&lt;&gt;"Yes","Access not removed",""),""))))</f>
        <v/>
      </c>
    </row>
    <row r="25" ht="30" customHeight="1">
      <c r="A25" s="20" t="n">
        <v>19</v>
      </c>
      <c r="B25" s="8">
        <f>IF('1 · Action Inventory'!B24="","",'1 · Action Inventory'!B24)</f>
        <v/>
      </c>
      <c r="C25" s="23">
        <f>IF('1 · Action Inventory'!I24="","",'1 · Action Inventory'!I24)</f>
        <v/>
      </c>
      <c r="D25" s="23">
        <f>IF('1 · Action Inventory'!F24="","",'1 · Action Inventory'!F24)</f>
        <v/>
      </c>
      <c r="E25" s="21" t="n"/>
      <c r="F25" s="22" t="n"/>
      <c r="G25" s="22" t="n"/>
      <c r="H25" s="21" t="n"/>
      <c r="I25" s="22" t="n"/>
      <c r="J25" s="22" t="n"/>
      <c r="K25" s="22" t="n"/>
      <c r="L25" s="22" t="n"/>
      <c r="M25" s="23">
        <f>IF(C25="","",IF(N25="","Ready","Not ready"))</f>
        <v/>
      </c>
      <c r="N25" s="8">
        <f>IF(C25="","",IF(C25="Agent acts",IF(E25="","No undo path",IF(D25&lt;&gt;"Yes","Undo not tested","")),IF(C25="Preview and consent",IF(F25&lt;&gt;"Yes","Preview doesn’t show the full change",IF(G25&lt;&gt;"Yes","Preview doesn’t say what can’t be undone",IF(H25="","No named person gives consent",IF(I25&lt;&gt;"Yes","Consent is a standing default, not per change",IF(J25&lt;&gt;"Yes","Agent doesn’t act as the consenting person",IF(AND(K25&lt;&gt;"Changes nothing",K25&lt;&gt;"Revises and asks again"),"No safe outcome when consent is refused","")))))),IF(C25="Not allowed",IF(L25&lt;&gt;"Yes","Access not removed",""),""))))</f>
        <v/>
      </c>
    </row>
    <row r="26" ht="30" customHeight="1">
      <c r="A26" s="20" t="n">
        <v>20</v>
      </c>
      <c r="B26" s="8">
        <f>IF('1 · Action Inventory'!B25="","",'1 · Action Inventory'!B25)</f>
        <v/>
      </c>
      <c r="C26" s="23">
        <f>IF('1 · Action Inventory'!I25="","",'1 · Action Inventory'!I25)</f>
        <v/>
      </c>
      <c r="D26" s="23">
        <f>IF('1 · Action Inventory'!F25="","",'1 · Action Inventory'!F25)</f>
        <v/>
      </c>
      <c r="E26" s="21" t="n"/>
      <c r="F26" s="22" t="n"/>
      <c r="G26" s="22" t="n"/>
      <c r="H26" s="21" t="n"/>
      <c r="I26" s="22" t="n"/>
      <c r="J26" s="22" t="n"/>
      <c r="K26" s="22" t="n"/>
      <c r="L26" s="22" t="n"/>
      <c r="M26" s="23">
        <f>IF(C26="","",IF(N26="","Ready","Not ready"))</f>
        <v/>
      </c>
      <c r="N26" s="8">
        <f>IF(C26="","",IF(C26="Agent acts",IF(E26="","No undo path",IF(D26&lt;&gt;"Yes","Undo not tested","")),IF(C26="Preview and consent",IF(F26&lt;&gt;"Yes","Preview doesn’t show the full change",IF(G26&lt;&gt;"Yes","Preview doesn’t say what can’t be undone",IF(H26="","No named person gives consent",IF(I26&lt;&gt;"Yes","Consent is a standing default, not per change",IF(J26&lt;&gt;"Yes","Agent doesn’t act as the consenting person",IF(AND(K26&lt;&gt;"Changes nothing",K26&lt;&gt;"Revises and asks again"),"No safe outcome when consent is refused","")))))),IF(C26="Not allowed",IF(L26&lt;&gt;"Yes","Access not removed",""),""))))</f>
        <v/>
      </c>
    </row>
    <row r="28" ht="26" customHeight="1">
      <c r="A28" s="24" t="inlineStr">
        <is>
          <t>Summary</t>
        </is>
      </c>
    </row>
    <row r="29">
      <c r="A29" s="26" t="inlineStr">
        <is>
          <t>BY AUTHORITY</t>
        </is>
      </c>
      <c r="C29" s="27" t="inlineStr">
        <is>
          <t>Actions</t>
        </is>
      </c>
      <c r="D29" s="27" t="inlineStr">
        <is>
          <t>Ready</t>
        </is>
      </c>
    </row>
    <row r="30" ht="22" customHeight="1">
      <c r="B30" s="28" t="inlineStr">
        <is>
          <t>Agent acts</t>
        </is>
      </c>
      <c r="C30" s="29">
        <f>COUNTIF(C7:C26,"Agent acts")</f>
        <v/>
      </c>
      <c r="D30" s="29">
        <f>COUNTIFS(C7:C26,"Agent acts",M7:M26,"Ready")</f>
        <v/>
      </c>
    </row>
    <row r="31" ht="22" customHeight="1">
      <c r="B31" s="31" t="inlineStr">
        <is>
          <t>Preview and consent</t>
        </is>
      </c>
      <c r="C31" s="29">
        <f>COUNTIF(C7:C26,"Preview and consent")</f>
        <v/>
      </c>
      <c r="D31" s="29">
        <f>COUNTIFS(C7:C26,"Preview and consent",M7:M26,"Ready")</f>
        <v/>
      </c>
    </row>
    <row r="32" ht="22" customHeight="1">
      <c r="B32" s="32" t="inlineStr">
        <is>
          <t>Not allowed</t>
        </is>
      </c>
      <c r="C32" s="29">
        <f>COUNTIF(C7:C26,"Not allowed")</f>
        <v/>
      </c>
      <c r="D32" s="29">
        <f>COUNTIFS(C7:C26,"Not allowed",M7:M26,"Ready")</f>
        <v/>
      </c>
    </row>
    <row r="34" ht="24" customHeight="1">
      <c r="A34" s="13" t="inlineStr">
        <is>
          <t>Authority not ready</t>
        </is>
      </c>
      <c r="C34" s="25">
        <f>COUNTIF(M7:M26,"Not ready")</f>
        <v/>
      </c>
      <c r="D34" s="19" t="inlineStr">
        <is>
          <t>Column N names the first thing missing on each.</t>
        </is>
      </c>
    </row>
    <row r="35" ht="30" customHeight="1">
      <c r="A35" s="13" t="inlineStr">
        <is>
          <t>Previews that hide part of the change</t>
        </is>
      </c>
      <c r="C35" s="25">
        <f>SUMPRODUCT((C7:C26="Preview and consent")*(((F7:F26&lt;&gt;"Yes")+(G7:G26&lt;&gt;"Yes"))&gt;0))</f>
        <v/>
      </c>
      <c r="D35" s="19" t="inlineStr">
        <is>
          <t>The preview does not show the full change, or does not say what can’t be undone.</t>
        </is>
      </c>
    </row>
    <row r="36" ht="30" customHeight="1">
      <c r="A36" s="13" t="inlineStr">
        <is>
          <t>Consent that isn’t per change or has no named person</t>
        </is>
      </c>
      <c r="C36" s="25">
        <f>SUMPRODUCT((C7:C26="Preview and consent")*(((I7:I26&lt;&gt;"Yes")+(H7:H26=""))&gt;0))</f>
        <v/>
      </c>
    </row>
    <row r="37" ht="30" customHeight="1">
      <c r="A37" s="13" t="inlineStr">
        <is>
          <t>Agent not acting as the consenting person</t>
        </is>
      </c>
      <c r="C37" s="25">
        <f>SUMPRODUCT((C7:C26="Preview and consent")*(J7:J26&lt;&gt;"Yes"))</f>
        <v/>
      </c>
    </row>
    <row r="38" ht="24" customHeight="1">
      <c r="A38" s="13" t="inlineStr">
        <is>
          <t>No safe outcome on refusal</t>
        </is>
      </c>
      <c r="C38" s="25">
        <f>SUMPRODUCT((C7:C26="Preview and consent")*(K7:K26&lt;&gt;"Changes nothing")*(K7:K26&lt;&gt;"Revises and asks again"))</f>
        <v/>
      </c>
      <c r="D38" s="19" t="inlineStr">
        <is>
          <t>Proceeds anyway, Not decided, or left blank.</t>
        </is>
      </c>
    </row>
    <row r="39" ht="24" customHeight="1">
      <c r="A39" s="13" t="inlineStr">
        <is>
          <t>Not allowed, access still present</t>
        </is>
      </c>
      <c r="C39" s="25">
        <f>SUMPRODUCT((C7:C26="Not allowed")*(L7:L26&lt;&gt;"Yes"))</f>
        <v/>
      </c>
    </row>
  </sheetData>
  <sheetProtection selectLockedCells="0" selectUnlockedCells="0" sheet="1" objects="0" insertRows="1" insertHyperlinks="1" autoFilter="1" scenarios="0" formatColumns="0" deleteColumns="1" insertColumns="1" pivotTables="1" deleteRows="1" formatCells="1" formatRows="0" sort="1"/>
  <mergeCells count="12">
    <mergeCell ref="F5:K5"/>
    <mergeCell ref="A3:N3"/>
    <mergeCell ref="A38:B38"/>
    <mergeCell ref="A2:N2"/>
    <mergeCell ref="D35:J35"/>
    <mergeCell ref="A37:B37"/>
    <mergeCell ref="D38:J38"/>
    <mergeCell ref="A36:B36"/>
    <mergeCell ref="D34:J34"/>
    <mergeCell ref="A39:B39"/>
    <mergeCell ref="A34:B34"/>
    <mergeCell ref="A35:B35"/>
  </mergeCells>
  <conditionalFormatting sqref="E7:E26">
    <cfRule type="expression" priority="1" dxfId="4">
      <formula>$C7&lt;&gt;"Agent acts"</formula>
    </cfRule>
  </conditionalFormatting>
  <conditionalFormatting sqref="F7:K26">
    <cfRule type="expression" priority="2" dxfId="4">
      <formula>$C7&lt;&gt;"Preview and consent"</formula>
    </cfRule>
  </conditionalFormatting>
  <conditionalFormatting sqref="L7:L26">
    <cfRule type="expression" priority="3" dxfId="4">
      <formula>$C7&lt;&gt;"Not allowed"</formula>
    </cfRule>
  </conditionalFormatting>
  <conditionalFormatting sqref="C7:C26">
    <cfRule type="expression" priority="4" dxfId="0">
      <formula>C7="Agent acts"</formula>
    </cfRule>
    <cfRule type="expression" priority="5" dxfId="1">
      <formula>C7="Preview and consent"</formula>
    </cfRule>
    <cfRule type="expression" priority="6" dxfId="2">
      <formula>C7="Not allowed"</formula>
    </cfRule>
  </conditionalFormatting>
  <conditionalFormatting sqref="M7:M26">
    <cfRule type="expression" priority="7" dxfId="5">
      <formula>M7="Ready"</formula>
    </cfRule>
    <cfRule type="expression" priority="8" dxfId="6">
      <formula>M7="Not ready"</formula>
    </cfRule>
  </conditionalFormatting>
  <conditionalFormatting sqref="C34">
    <cfRule type="expression" priority="9" dxfId="3">
      <formula>C34&gt;0</formula>
    </cfRule>
  </conditionalFormatting>
  <dataValidations count="5">
    <dataValidation sqref="G7 G8 G9 G10 G11 G12 G13 G14 G15 G16 G17 G18 G19 G20 G21 G22 G23 G24 G25 G26 I7 I8 I9 I10 I11 I12 I13 I14 I15 I16 I17 I18 I19 I20 I21 I22 I23 I24 I25 I26 J7 J8 J9 J10 J11 J12 J13 J14 J15 J16 J17 J18 J19 J20 J21 J22 J23 J24 J25 J26 L7 L8 L9 L10 L11 L12 L13 L14 L15 L16 L17 L18 L19 L20 L21 L22 L23 L24 L25 L26" showDropDown="0" showInputMessage="0" showErrorMessage="0" allowBlank="1" errorTitle="Not an option" error="Pick one of the options in the list." type="list">
      <formula1>$Z$1:$Z$2</formula1>
    </dataValidation>
    <dataValidation sqref="F7 F8 F9 F10 F11 F12 F13 F14 F15 F16 F17 F18 F19 F20 F21 F22 F23 F24 F25 F26" showDropDown="0" showInputMessage="0" showErrorMessage="0" allowBlank="1" errorTitle="Not an option" error="Pick one of the options in the list." type="list">
      <formula1>$Z$4:$Z$6</formula1>
    </dataValidation>
    <dataValidation sqref="K7 K8 K9 K10 K11 K12 K13 K14 K15 K16 K17 K18 K19 K20 K21 K22 K23 K24 K25 K26" showDropDown="0" showInputMessage="0" showErrorMessage="0" allowBlank="1" errorTitle="Not an option" error="Pick one of the options in the list." type="list">
      <formula1>$Z$8:$Z$11</formula1>
    </dataValidation>
    <dataValidation sqref="E7 E8 E9 E10 E11 E12 E13 E14 E15 E16 E17 E18 E19 E20 E21 E22 E23 E24 E25 E26" showDropDown="0" showInputMessage="0" showErrorMessage="0" allowBlank="1" errorTitle="Not this authority" error="This column is for Agent acts actions. Change the authority on the Action Inventory first." type="custom">
      <formula1>$C7="Agent acts"</formula1>
    </dataValidation>
    <dataValidation sqref="H7 H8 H9 H10 H11 H12 H13 H14 H15 H16 H17 H18 H19 H20 H21 H22 H23 H24 H25 H26" showDropDown="0" showInputMessage="0" showErrorMessage="0" allowBlank="1" errorTitle="Not this authority" error="This column is for Preview and consent actions. Change the authority on the Action Inventory first." type="custom">
      <formula1>$C7="Preview and consent"</formula1>
    </dataValidation>
  </dataValidation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183D32"/>
    <outlinePr summaryBelow="1" summaryRight="1"/>
    <pageSetUpPr fitToPage="1"/>
  </sheetPr>
  <dimension ref="A1:Z20"/>
  <sheetViews>
    <sheetView showGridLines="0" workbookViewId="0">
      <pane ySplit="10" topLeftCell="A11" activePane="bottomLeft" state="frozen"/>
      <selection pane="bottomLeft" activeCell="A1" sqref="A1"/>
    </sheetView>
  </sheetViews>
  <sheetFormatPr baseColWidth="8" defaultRowHeight="15"/>
  <cols>
    <col width="7" customWidth="1" min="1" max="1"/>
    <col width="34" customWidth="1" min="2" max="2"/>
    <col width="26" customWidth="1" min="3" max="3"/>
    <col width="24" customWidth="1" min="4" max="4"/>
    <col width="13" customWidth="1" min="5" max="5"/>
    <col width="10" customWidth="1" min="6" max="6"/>
    <col width="12" customWidth="1" min="7" max="7"/>
    <col width="52" customWidth="1" min="8" max="8"/>
    <col hidden="1" width="13" customWidth="1" min="25" max="25"/>
    <col hidden="1" width="13" customWidth="1" min="26" max="26"/>
  </cols>
  <sheetData>
    <row r="1" ht="28" customHeight="1">
      <c r="A1" s="18" t="inlineStr">
        <is>
          <t>3 · Checklist</t>
        </is>
      </c>
      <c r="Z1" s="14" t="inlineStr">
        <is>
          <t>Yes</t>
        </is>
      </c>
    </row>
    <row r="2" ht="20" customHeight="1">
      <c r="A2" s="3" t="inlineStr">
        <is>
          <t>Is the agent’s authority ready for real users?</t>
        </is>
      </c>
      <c r="Z2" s="14" t="inlineStr">
        <is>
          <t>Partial</t>
        </is>
      </c>
    </row>
    <row r="3" ht="30" customHeight="1">
      <c r="A3" s="19" t="inlineStr">
        <is>
          <t>Answer each check from evidence, not from memory. The four marked ★ are critical: a No on any one of them is a Hold.</t>
        </is>
      </c>
      <c r="Z3" s="14" t="inlineStr">
        <is>
          <t>No</t>
        </is>
      </c>
    </row>
    <row r="5" ht="34" customHeight="1">
      <c r="A5" s="36" t="inlineStr">
        <is>
          <t>Decision</t>
        </is>
      </c>
      <c r="C5" s="37">
        <f>IF(OR(E11="No",E13="No",E14="No",E15="No"),"Hold",IF(COUNTA(E11:E20)&lt;10,"",IF(AND(SUM(F11:F20)&gt;=16,NOT(OR(E11="Partial",E13="Partial",E14="Partial",E15="Partial"))),"Ready","Fix first")))</f>
        <v/>
      </c>
      <c r="D5" s="13">
        <f>IF(C5="Hold","Don’t let this agent act for real users yet.",IF(C5="Fix first","No critical check is answered No, but the total is under 16 or a critical check is only Partial.",IF(C5="Ready","Every critical check is answered Yes, and the total is 16 or more.",IF(COUNTA(E11:E20)=0,"","Answer all 10 checks to see the decision."))))</f>
        <v/>
      </c>
    </row>
    <row r="6" ht="24" customHeight="1">
      <c r="A6" s="13" t="inlineStr">
        <is>
          <t>Total</t>
        </is>
      </c>
      <c r="C6" s="25">
        <f>SUM(F11:F20)</f>
        <v/>
      </c>
      <c r="D6" s="19" t="inlineStr">
        <is>
          <t>out of 20. Yes scores 2, Partial 1, No 0. Ready needs 16 or more and every critical check answered Yes.</t>
        </is>
      </c>
    </row>
    <row r="7" ht="24" customHeight="1">
      <c r="A7" s="13" t="inlineStr">
        <is>
          <t>Checks answered</t>
        </is>
      </c>
      <c r="C7" s="25">
        <f>COUNTA(E11:E20)</f>
        <v/>
      </c>
      <c r="D7" s="19" t="inlineStr">
        <is>
          <t>out of 10</t>
        </is>
      </c>
    </row>
    <row r="8" ht="40" customHeight="1">
      <c r="A8" s="36" t="inlineStr">
        <is>
          <t>Your next step</t>
        </is>
      </c>
      <c r="C8" s="8">
        <f>IF(MIN(Y11:Y20)&lt;9,INDEX(B11:B20,MATCH(MIN(Y11:Y20),Y11:Y20,0)),IF(COUNTA(E11:E20)=10,"No open items.",""))</f>
        <v/>
      </c>
    </row>
    <row r="10" ht="32" customHeight="1">
      <c r="A10" s="6" t="inlineStr">
        <is>
          <t>#</t>
        </is>
      </c>
      <c r="B10" s="6" t="inlineStr">
        <is>
          <t>Check</t>
        </is>
      </c>
      <c r="E10" s="6" t="inlineStr">
        <is>
          <t>Answer</t>
        </is>
      </c>
      <c r="F10" s="6" t="inlineStr">
        <is>
          <t>Points</t>
        </is>
      </c>
      <c r="G10" s="6" t="inlineStr">
        <is>
          <t>Status</t>
        </is>
      </c>
      <c r="H10" s="6" t="inlineStr">
        <is>
          <t>Evidence from the other tabs</t>
        </is>
      </c>
    </row>
    <row r="11" ht="36" customHeight="1">
      <c r="A11" s="23" t="inlineStr">
        <is>
          <t>1 ★</t>
        </is>
      </c>
      <c r="B11" s="8" t="inlineStr">
        <is>
          <t>Every action the agent can take is listed, including saving and restoring versions, sending, publishing and external calls.</t>
        </is>
      </c>
      <c r="C11" s="38" t="n"/>
      <c r="D11" s="38" t="n"/>
      <c r="E11" s="22" t="n"/>
      <c r="F11" s="23">
        <f>IF(E11="Yes",2,IF(E11="Partial",1,IF(E11="No",0,"")))</f>
        <v/>
      </c>
      <c r="G11" s="23">
        <f>IF(E11="Yes","Pass",IF(E11="Partial","Partial",IF(E11="No","Fail","")))</f>
        <v/>
      </c>
      <c r="H11" s="39">
        <f>"Actions listed (Tab 1): "&amp;'1 · Action Inventory'!C28&amp;" · "&amp;"Actions with no authority (Tab 1): "&amp;'1 · Action Inventory'!C35</f>
        <v/>
      </c>
      <c r="Y11" s="16">
        <f>IF(E11="No",1,IF(E11="Partial",3,9))</f>
        <v/>
      </c>
    </row>
    <row r="12" ht="36" customHeight="1">
      <c r="A12" s="20" t="n">
        <v>2</v>
      </c>
      <c r="B12" s="8" t="inlineStr">
        <is>
          <t>Each action’s undo was tested, not assumed.</t>
        </is>
      </c>
      <c r="C12" s="38" t="n"/>
      <c r="D12" s="38" t="n"/>
      <c r="E12" s="22" t="n"/>
      <c r="F12" s="23">
        <f>IF(E12="Yes",2,IF(E12="Partial",1,IF(E12="No",0,"")))</f>
        <v/>
      </c>
      <c r="G12" s="23">
        <f>IF(E12="Yes","Pass",IF(E12="Partial","Partial",IF(E12="No","Fail","")))</f>
        <v/>
      </c>
      <c r="H12" s="39">
        <f>"Undo not tested (Tab 1): "&amp;'1 · Action Inventory'!C36</f>
        <v/>
      </c>
      <c r="Y12" s="16">
        <f>IF(E12="No",2,IF(E12="Partial",4,9))</f>
        <v/>
      </c>
    </row>
    <row r="13" ht="36" customHeight="1">
      <c r="A13" s="23" t="inlineStr">
        <is>
          <t>3 ★</t>
        </is>
      </c>
      <c r="B13" s="8" t="inlineStr">
        <is>
          <t>Every action that can’t be fully undone, or whose result others see, requires preview and consent.</t>
        </is>
      </c>
      <c r="C13" s="38" t="n"/>
      <c r="D13" s="38" t="n"/>
      <c r="E13" s="22" t="n"/>
      <c r="F13" s="23">
        <f>IF(E13="Yes",2,IF(E13="Partial",1,IF(E13="No",0,"")))</f>
        <v/>
      </c>
      <c r="G13" s="23">
        <f>IF(E13="Yes","Pass",IF(E13="Partial","Partial",IF(E13="No","Fail","")))</f>
        <v/>
      </c>
      <c r="H13" s="39">
        <f>"Consent removed by override (Tab 1): "&amp;'1 · Action Inventory'!C39</f>
        <v/>
      </c>
      <c r="Y13" s="16">
        <f>IF(E13="No",1,IF(E13="Partial",3,9))</f>
        <v/>
      </c>
    </row>
    <row r="14" ht="36" customHeight="1">
      <c r="A14" s="23" t="inlineStr">
        <is>
          <t>4 ★</t>
        </is>
      </c>
      <c r="B14" s="8" t="inlineStr">
        <is>
          <t>Every preview shows the full change and says what can’t be undone.</t>
        </is>
      </c>
      <c r="C14" s="38" t="n"/>
      <c r="D14" s="38" t="n"/>
      <c r="E14" s="22" t="n"/>
      <c r="F14" s="23">
        <f>IF(E14="Yes",2,IF(E14="Partial",1,IF(E14="No",0,"")))</f>
        <v/>
      </c>
      <c r="G14" s="23">
        <f>IF(E14="Yes","Pass",IF(E14="Partial","Partial",IF(E14="No","Fail","")))</f>
        <v/>
      </c>
      <c r="H14" s="39">
        <f>"Previews that hide part of the change (Tab 2): "&amp;'2 · Authority Requirements'!C35</f>
        <v/>
      </c>
      <c r="Y14" s="16">
        <f>IF(E14="No",1,IF(E14="Partial",3,9))</f>
        <v/>
      </c>
    </row>
    <row r="15" ht="36" customHeight="1">
      <c r="A15" s="23" t="inlineStr">
        <is>
          <t>5 ★</t>
        </is>
      </c>
      <c r="B15" s="8" t="inlineStr">
        <is>
          <t>Consent is given per change by a named person, not by a standing default.</t>
        </is>
      </c>
      <c r="C15" s="38" t="n"/>
      <c r="D15" s="38" t="n"/>
      <c r="E15" s="22" t="n"/>
      <c r="F15" s="23">
        <f>IF(E15="Yes",2,IF(E15="Partial",1,IF(E15="No",0,"")))</f>
        <v/>
      </c>
      <c r="G15" s="23">
        <f>IF(E15="Yes","Pass",IF(E15="Partial","Partial",IF(E15="No","Fail","")))</f>
        <v/>
      </c>
      <c r="H15" s="39">
        <f>"Consent that isn’t per change or has no named person (Tab 2): "&amp;'2 · Authority Requirements'!C36</f>
        <v/>
      </c>
      <c r="Y15" s="16">
        <f>IF(E15="No",1,IF(E15="Partial",3,9))</f>
        <v/>
      </c>
    </row>
    <row r="16" ht="36" customHeight="1">
      <c r="A16" s="20" t="n">
        <v>6</v>
      </c>
      <c r="B16" s="8" t="inlineStr">
        <is>
          <t>The agent acts as the person who consented, and the log records who approved each change.</t>
        </is>
      </c>
      <c r="C16" s="38" t="n"/>
      <c r="D16" s="38" t="n"/>
      <c r="E16" s="22" t="n"/>
      <c r="F16" s="23">
        <f>IF(E16="Yes",2,IF(E16="Partial",1,IF(E16="No",0,"")))</f>
        <v/>
      </c>
      <c r="G16" s="23">
        <f>IF(E16="Yes","Pass",IF(E16="Partial","Partial",IF(E16="No","Fail","")))</f>
        <v/>
      </c>
      <c r="H16" s="39">
        <f>"Agent not acting as the consenting person (Tab 2): "&amp;'2 · Authority Requirements'!C37</f>
        <v/>
      </c>
      <c r="Y16" s="16">
        <f>IF(E16="No",2,IF(E16="Partial",4,9))</f>
        <v/>
      </c>
    </row>
    <row r="17" ht="36" customHeight="1">
      <c r="A17" s="20" t="n">
        <v>7</v>
      </c>
      <c r="B17" s="8" t="inlineStr">
        <is>
          <t>If consent is refused, the agent changes nothing, or revises and asks again.</t>
        </is>
      </c>
      <c r="C17" s="38" t="n"/>
      <c r="D17" s="38" t="n"/>
      <c r="E17" s="22" t="n"/>
      <c r="F17" s="23">
        <f>IF(E17="Yes",2,IF(E17="Partial",1,IF(E17="No",0,"")))</f>
        <v/>
      </c>
      <c r="G17" s="23">
        <f>IF(E17="Yes","Pass",IF(E17="Partial","Partial",IF(E17="No","Fail","")))</f>
        <v/>
      </c>
      <c r="H17" s="39">
        <f>"No safe outcome on refusal (Tab 2): "&amp;'2 · Authority Requirements'!C38</f>
        <v/>
      </c>
      <c r="Y17" s="16">
        <f>IF(E17="No",2,IF(E17="Partial",4,9))</f>
        <v/>
      </c>
    </row>
    <row r="18" ht="36" customHeight="1">
      <c r="A18" s="20" t="n">
        <v>8</v>
      </c>
      <c r="B18" s="8" t="inlineStr">
        <is>
          <t>Every override of the suggested authority has a written reason.</t>
        </is>
      </c>
      <c r="C18" s="38" t="n"/>
      <c r="D18" s="38" t="n"/>
      <c r="E18" s="22" t="n"/>
      <c r="F18" s="23">
        <f>IF(E18="Yes",2,IF(E18="Partial",1,IF(E18="No",0,"")))</f>
        <v/>
      </c>
      <c r="G18" s="23">
        <f>IF(E18="Yes","Pass",IF(E18="Partial","Partial",IF(E18="No","Fail","")))</f>
        <v/>
      </c>
      <c r="H18" s="39">
        <f>"Overrides with no reason (Tab 1): "&amp;'1 · Action Inventory'!C38</f>
        <v/>
      </c>
      <c r="Y18" s="16">
        <f>IF(E18="No",2,IF(E18="Partial",4,9))</f>
        <v/>
      </c>
    </row>
    <row r="19" ht="36" customHeight="1">
      <c r="A19" s="20" t="n">
        <v>9</v>
      </c>
      <c r="B19" s="8" t="inlineStr">
        <is>
          <t>The agent’s access is no wider than the actions it needs; access for Not allowed actions has been removed.</t>
        </is>
      </c>
      <c r="C19" s="38" t="n"/>
      <c r="D19" s="38" t="n"/>
      <c r="E19" s="22" t="n"/>
      <c r="F19" s="23">
        <f>IF(E19="Yes",2,IF(E19="Partial",1,IF(E19="No",0,"")))</f>
        <v/>
      </c>
      <c r="G19" s="23">
        <f>IF(E19="Yes","Pass",IF(E19="Partial","Partial",IF(E19="No","Fail","")))</f>
        <v/>
      </c>
      <c r="H19" s="39">
        <f>"Not allowed, access still present (Tab 2): "&amp;'2 · Authority Requirements'!C39</f>
        <v/>
      </c>
      <c r="Y19" s="16">
        <f>IF(E19="No",2,IF(E19="Partial",4,9))</f>
        <v/>
      </c>
    </row>
    <row r="20" ht="26" customHeight="1">
      <c r="A20" s="20" t="n">
        <v>10</v>
      </c>
      <c r="B20" s="8" t="inlineStr">
        <is>
          <t>A named owner re-runs this review whenever the agent gains a new action or tool.</t>
        </is>
      </c>
      <c r="C20" s="38" t="n"/>
      <c r="D20" s="38" t="n"/>
      <c r="E20" s="22" t="n"/>
      <c r="F20" s="23">
        <f>IF(E20="Yes",2,IF(E20="Partial",1,IF(E20="No",0,"")))</f>
        <v/>
      </c>
      <c r="G20" s="23">
        <f>IF(E20="Yes","Pass",IF(E20="Partial","Partial",IF(E20="No","Fail","")))</f>
        <v/>
      </c>
      <c r="H20" s="38" t="n"/>
      <c r="Y20" s="16">
        <f>IF(E20="No",2,IF(E20="Partial",4,9))</f>
        <v/>
      </c>
    </row>
  </sheetData>
  <sheetProtection selectLockedCells="0" selectUnlockedCells="0" sheet="1" objects="0" insertRows="1" insertHyperlinks="1" autoFilter="1" scenarios="0" formatColumns="0" deleteColumns="1" insertColumns="1" pivotTables="1" deleteRows="1" formatCells="1" formatRows="0" sort="1"/>
  <mergeCells count="21">
    <mergeCell ref="B11:D11"/>
    <mergeCell ref="B14:D14"/>
    <mergeCell ref="B17:D17"/>
    <mergeCell ref="B13:D13"/>
    <mergeCell ref="A6:B6"/>
    <mergeCell ref="B10:D10"/>
    <mergeCell ref="B19:D19"/>
    <mergeCell ref="D6:H6"/>
    <mergeCell ref="A7:B7"/>
    <mergeCell ref="C8:H8"/>
    <mergeCell ref="B15:D15"/>
    <mergeCell ref="B20:D20"/>
    <mergeCell ref="A3:H3"/>
    <mergeCell ref="D7:H7"/>
    <mergeCell ref="A2:H2"/>
    <mergeCell ref="A5:B5"/>
    <mergeCell ref="A8:B8"/>
    <mergeCell ref="B16:D16"/>
    <mergeCell ref="B18:D18"/>
    <mergeCell ref="D5:H5"/>
    <mergeCell ref="B12:D12"/>
  </mergeCells>
  <conditionalFormatting sqref="G11:G20">
    <cfRule type="expression" priority="1" dxfId="5">
      <formula>G11="Pass"</formula>
    </cfRule>
    <cfRule type="expression" priority="2" dxfId="1">
      <formula>G11="Partial"</formula>
    </cfRule>
    <cfRule type="expression" priority="3" dxfId="6">
      <formula>G11="Fail"</formula>
    </cfRule>
  </conditionalFormatting>
  <conditionalFormatting sqref="C5">
    <cfRule type="expression" priority="4" dxfId="7">
      <formula>C5="Ready"</formula>
    </cfRule>
    <cfRule type="expression" priority="5" dxfId="8">
      <formula>C5="Fix first"</formula>
    </cfRule>
    <cfRule type="expression" priority="6" dxfId="3">
      <formula>C5="Hold"</formula>
    </cfRule>
  </conditionalFormatting>
  <dataValidations count="1">
    <dataValidation sqref="E11 E12 E13 E14 E15 E16 E17 E18 E19 E20" showDropDown="0" showInputMessage="0" showErrorMessage="0" allowBlank="1" errorTitle="Not an option" error="Pick one of the options in the list." type="list">
      <formula1>$Z$1:$Z$3</formula1>
    </dataValidation>
  </dataValidation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B58A46"/>
    <outlinePr summaryBelow="1" summaryRight="1"/>
    <pageSetUpPr fitToPage="1"/>
  </sheetPr>
  <dimension ref="A1:Z10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32" customWidth="1" min="3" max="3"/>
    <col width="24" customWidth="1" min="4" max="4"/>
    <col width="22" customWidth="1" min="5" max="5"/>
    <col width="14" customWidth="1" min="6" max="6"/>
    <col width="20" customWidth="1" min="7" max="7"/>
    <col width="52" customWidth="1" min="8" max="8"/>
    <col width="20" customWidth="1" min="9" max="9"/>
    <col width="20" customWidth="1" min="10" max="10"/>
    <col width="36" customWidth="1" min="11" max="11"/>
    <col width="12" customWidth="1" min="12" max="12"/>
    <col width="12" customWidth="1" min="13" max="13"/>
    <col width="36" customWidth="1" min="14" max="14"/>
    <col hidden="1" width="13" customWidth="1" min="25" max="25"/>
    <col hidden="1" width="13" customWidth="1" min="26" max="26"/>
  </cols>
  <sheetData>
    <row r="1" ht="30" customHeight="1">
      <c r="A1" s="40" t="inlineStr">
        <is>
          <t>Illustrative example: an agent that drafts and edits a shared document for a user. Not a real system, company or real figures.</t>
        </is>
      </c>
      <c r="B1" s="41" t="n"/>
      <c r="C1" s="41" t="n"/>
      <c r="D1" s="41" t="n"/>
      <c r="E1" s="41" t="n"/>
      <c r="F1" s="41" t="n"/>
      <c r="G1" s="41" t="n"/>
      <c r="H1" s="41" t="n"/>
      <c r="I1" s="41" t="n"/>
      <c r="J1" s="41" t="n"/>
      <c r="K1" s="41" t="n"/>
      <c r="Z1" s="14" t="inlineStr">
        <is>
          <t>Yes</t>
        </is>
      </c>
    </row>
    <row r="2">
      <c r="Z2" s="14" t="inlineStr">
        <is>
          <t>Partly</t>
        </is>
      </c>
    </row>
    <row r="3" ht="28" customHeight="1">
      <c r="A3" s="18" t="inlineStr">
        <is>
          <t>1 · Action Inventory</t>
        </is>
      </c>
      <c r="Z3" s="14" t="inlineStr">
        <is>
          <t>No</t>
        </is>
      </c>
    </row>
    <row r="4" ht="20" customHeight="1">
      <c r="A4" s="3" t="inlineStr">
        <is>
          <t>What can the agent do, and can each action really be undone?</t>
        </is>
      </c>
    </row>
    <row r="5" ht="30" customHeight="1">
      <c r="A5" s="19" t="inlineStr">
        <is>
          <t>Mark each action from a real undo attempt. Saving a version, restoring a version and renaming often feel reversible. Check what the history, notifications and other people’s screens show afterwards.</t>
        </is>
      </c>
      <c r="Z5" s="14" t="inlineStr">
        <is>
          <t>Nobody</t>
        </is>
      </c>
    </row>
    <row r="6">
      <c r="Z6" s="14" t="inlineStr">
        <is>
          <t>The user only</t>
        </is>
      </c>
    </row>
    <row r="7" ht="46" customHeight="1">
      <c r="A7" s="6" t="inlineStr">
        <is>
          <t>#</t>
        </is>
      </c>
      <c r="B7" s="6" t="inlineStr">
        <is>
          <t>Action</t>
        </is>
      </c>
      <c r="C7" s="6" t="inlineStr">
        <is>
          <t>What it changes</t>
        </is>
      </c>
      <c r="D7" s="6" t="inlineStr">
        <is>
          <t>Can it be undone?</t>
        </is>
      </c>
      <c r="E7" s="6" t="inlineStr">
        <is>
          <t>Who sees the result before it can be undone?</t>
        </is>
      </c>
      <c r="F7" s="6" t="inlineStr">
        <is>
          <t>Undo tested?</t>
        </is>
      </c>
      <c r="G7" s="6" t="inlineStr">
        <is>
          <t>Suggested authority</t>
        </is>
      </c>
      <c r="H7" s="6" t="inlineStr">
        <is>
          <t>Authority chosen</t>
        </is>
      </c>
      <c r="I7" s="6" t="inlineStr">
        <is>
          <t>Final authority</t>
        </is>
      </c>
      <c r="J7" s="6" t="inlineStr">
        <is>
          <t>Differs from suggestion?</t>
        </is>
      </c>
      <c r="K7" s="6" t="inlineStr">
        <is>
          <t>Reason for the difference</t>
        </is>
      </c>
      <c r="Z7" s="14" t="inlineStr">
        <is>
          <t>Other people</t>
        </is>
      </c>
    </row>
    <row r="8" ht="35" customHeight="1">
      <c r="A8" s="20" t="n">
        <v>1</v>
      </c>
      <c r="B8" s="42" t="inlineStr">
        <is>
          <t>Draft text in the editor preview</t>
        </is>
      </c>
      <c r="C8" s="42" t="inlineStr">
        <is>
          <t>Text in the preview pane only</t>
        </is>
      </c>
      <c r="D8" s="43" t="inlineStr">
        <is>
          <t>Yes</t>
        </is>
      </c>
      <c r="E8" s="43" t="inlineStr">
        <is>
          <t>The user only</t>
        </is>
      </c>
      <c r="F8" s="43" t="inlineStr">
        <is>
          <t>Yes</t>
        </is>
      </c>
      <c r="G8" s="23">
        <f>IF(OR(B8="",D8="",E8=""),"",IF(AND(D8="Yes",OR(E8="Nobody",E8="The user only")),"Agent acts","Preview and consent"))</f>
        <v/>
      </c>
      <c r="H8" s="43" t="n"/>
      <c r="I8" s="23">
        <f>IF(H8&lt;&gt;"",H8,G8)</f>
        <v/>
      </c>
      <c r="J8" s="23">
        <f>IF(AND(H8&lt;&gt;"",H8&lt;&gt;G8),"Yes","")</f>
        <v/>
      </c>
      <c r="K8" s="42" t="n"/>
      <c r="Z8" s="14" t="inlineStr">
        <is>
          <t>Another system</t>
        </is>
      </c>
    </row>
    <row r="9" ht="35" customHeight="1">
      <c r="A9" s="20" t="n">
        <v>2</v>
      </c>
      <c r="B9" s="42" t="inlineStr">
        <is>
          <t>Apply an edit to the user’s working draft</t>
        </is>
      </c>
      <c r="C9" s="42" t="inlineStr">
        <is>
          <t>The user’s unsaved working draft</t>
        </is>
      </c>
      <c r="D9" s="43" t="inlineStr">
        <is>
          <t>Yes</t>
        </is>
      </c>
      <c r="E9" s="43" t="inlineStr">
        <is>
          <t>The user only</t>
        </is>
      </c>
      <c r="F9" s="43" t="inlineStr">
        <is>
          <t>Yes</t>
        </is>
      </c>
      <c r="G9" s="23">
        <f>IF(OR(B9="",D9="",E9=""),"",IF(AND(D9="Yes",OR(E9="Nobody",E9="The user only")),"Agent acts","Preview and consent"))</f>
        <v/>
      </c>
      <c r="H9" s="43" t="n"/>
      <c r="I9" s="23">
        <f>IF(H9&lt;&gt;"",H9,G9)</f>
        <v/>
      </c>
      <c r="J9" s="23">
        <f>IF(AND(H9&lt;&gt;"",H9&lt;&gt;G9),"Yes","")</f>
        <v/>
      </c>
      <c r="K9" s="42" t="n"/>
    </row>
    <row r="10" ht="35" customHeight="1">
      <c r="A10" s="20" t="n">
        <v>3</v>
      </c>
      <c r="B10" s="42" t="inlineStr">
        <is>
          <t>Save a new version</t>
        </is>
      </c>
      <c r="C10" s="42" t="inlineStr">
        <is>
          <t>Adds a version to the document’s history</t>
        </is>
      </c>
      <c r="D10" s="43" t="inlineStr">
        <is>
          <t>Partly</t>
        </is>
      </c>
      <c r="E10" s="43" t="inlineStr">
        <is>
          <t>Other people</t>
        </is>
      </c>
      <c r="F10" s="43" t="inlineStr">
        <is>
          <t>Yes</t>
        </is>
      </c>
      <c r="G10" s="23">
        <f>IF(OR(B10="",D10="",E10=""),"",IF(AND(D10="Yes",OR(E10="Nobody",E10="The user only")),"Agent acts","Preview and consent"))</f>
        <v/>
      </c>
      <c r="H10" s="43" t="n"/>
      <c r="I10" s="23">
        <f>IF(H10&lt;&gt;"",H10,G10)</f>
        <v/>
      </c>
      <c r="J10" s="23">
        <f>IF(AND(H10&lt;&gt;"",H10&lt;&gt;G10),"Yes","")</f>
        <v/>
      </c>
      <c r="K10" s="42" t="n"/>
      <c r="Z10" s="14" t="inlineStr">
        <is>
          <t>Yes</t>
        </is>
      </c>
    </row>
    <row r="11" ht="35" customHeight="1">
      <c r="A11" s="20" t="n">
        <v>4</v>
      </c>
      <c r="B11" s="42" t="inlineStr">
        <is>
          <t>Restore an earlier version</t>
        </is>
      </c>
      <c r="C11" s="42" t="inlineStr">
        <is>
          <t>Replaces the current text and adds a history entry</t>
        </is>
      </c>
      <c r="D11" s="43" t="inlineStr">
        <is>
          <t>Partly</t>
        </is>
      </c>
      <c r="E11" s="43" t="inlineStr">
        <is>
          <t>Other people</t>
        </is>
      </c>
      <c r="F11" s="43" t="inlineStr">
        <is>
          <t>No</t>
        </is>
      </c>
      <c r="G11" s="23">
        <f>IF(OR(B11="",D11="",E11=""),"",IF(AND(D11="Yes",OR(E11="Nobody",E11="The user only")),"Agent acts","Preview and consent"))</f>
        <v/>
      </c>
      <c r="H11" s="43" t="n"/>
      <c r="I11" s="23">
        <f>IF(H11&lt;&gt;"",H11,G11)</f>
        <v/>
      </c>
      <c r="J11" s="23">
        <f>IF(AND(H11&lt;&gt;"",H11&lt;&gt;G11),"Yes","")</f>
        <v/>
      </c>
      <c r="K11" s="42" t="n"/>
      <c r="Z11" s="14" t="inlineStr">
        <is>
          <t>No</t>
        </is>
      </c>
    </row>
    <row r="12" ht="35" customHeight="1">
      <c r="A12" s="20" t="n">
        <v>5</v>
      </c>
      <c r="B12" s="42" t="inlineStr">
        <is>
          <t>Publish to the shared space</t>
        </is>
      </c>
      <c r="C12" s="42" t="inlineStr">
        <is>
          <t>The copy everyone with access reads</t>
        </is>
      </c>
      <c r="D12" s="43" t="inlineStr">
        <is>
          <t>No</t>
        </is>
      </c>
      <c r="E12" s="43" t="inlineStr">
        <is>
          <t>Other people</t>
        </is>
      </c>
      <c r="F12" s="43" t="inlineStr">
        <is>
          <t>No</t>
        </is>
      </c>
      <c r="G12" s="23">
        <f>IF(OR(B12="",D12="",E12=""),"",IF(AND(D12="Yes",OR(E12="Nobody",E12="The user only")),"Agent acts","Preview and consent"))</f>
        <v/>
      </c>
      <c r="H12" s="43" t="n"/>
      <c r="I12" s="23">
        <f>IF(H12&lt;&gt;"",H12,G12)</f>
        <v/>
      </c>
      <c r="J12" s="23">
        <f>IF(AND(H12&lt;&gt;"",H12&lt;&gt;G12),"Yes","")</f>
        <v/>
      </c>
      <c r="K12" s="42" t="n"/>
    </row>
    <row r="13" ht="35" customHeight="1">
      <c r="A13" s="20" t="n">
        <v>6</v>
      </c>
      <c r="B13" s="42" t="inlineStr">
        <is>
          <t>Notify collaborators</t>
        </is>
      </c>
      <c r="C13" s="42" t="inlineStr">
        <is>
          <t>Sends a message to each collaborator</t>
        </is>
      </c>
      <c r="D13" s="43" t="inlineStr">
        <is>
          <t>No</t>
        </is>
      </c>
      <c r="E13" s="43" t="inlineStr">
        <is>
          <t>Other people</t>
        </is>
      </c>
      <c r="F13" s="43" t="inlineStr">
        <is>
          <t>No</t>
        </is>
      </c>
      <c r="G13" s="23">
        <f>IF(OR(B13="",D13="",E13=""),"",IF(AND(D13="Yes",OR(E13="Nobody",E13="The user only")),"Agent acts","Preview and consent"))</f>
        <v/>
      </c>
      <c r="H13" s="43" t="n"/>
      <c r="I13" s="23">
        <f>IF(H13&lt;&gt;"",H13,G13)</f>
        <v/>
      </c>
      <c r="J13" s="23">
        <f>IF(AND(H13&lt;&gt;"",H13&lt;&gt;G13),"Yes","")</f>
        <v/>
      </c>
      <c r="K13" s="42" t="n"/>
      <c r="Z13" s="14" t="inlineStr">
        <is>
          <t>Agent acts</t>
        </is>
      </c>
    </row>
    <row r="14" ht="35" customHeight="1">
      <c r="A14" s="20" t="n">
        <v>7</v>
      </c>
      <c r="B14" s="42" t="inlineStr">
        <is>
          <t>Delete a section</t>
        </is>
      </c>
      <c r="C14" s="42" t="inlineStr">
        <is>
          <t>Removes a section from the working draft</t>
        </is>
      </c>
      <c r="D14" s="43" t="inlineStr">
        <is>
          <t>Yes</t>
        </is>
      </c>
      <c r="E14" s="43" t="inlineStr">
        <is>
          <t>The user only</t>
        </is>
      </c>
      <c r="F14" s="43" t="inlineStr">
        <is>
          <t>No</t>
        </is>
      </c>
      <c r="G14" s="23">
        <f>IF(OR(B14="",D14="",E14=""),"",IF(AND(D14="Yes",OR(E14="Nobody",E14="The user only")),"Agent acts","Preview and consent"))</f>
        <v/>
      </c>
      <c r="H14" s="43" t="inlineStr">
        <is>
          <t>Preview and consent</t>
        </is>
      </c>
      <c r="I14" s="23">
        <f>IF(H14&lt;&gt;"",H14,G14)</f>
        <v/>
      </c>
      <c r="J14" s="23">
        <f>IF(AND(H14&lt;&gt;"",H14&lt;&gt;G14),"Yes","")</f>
        <v/>
      </c>
      <c r="K14" s="42" t="inlineStr">
        <is>
          <t>Users don’t expect a section to disappear without being asked</t>
        </is>
      </c>
      <c r="Z14" s="14" t="inlineStr">
        <is>
          <t>Preview and consent</t>
        </is>
      </c>
    </row>
    <row r="15" ht="35" customHeight="1">
      <c r="A15" s="20" t="n">
        <v>8</v>
      </c>
      <c r="B15" s="42" t="inlineStr">
        <is>
          <t>Rename the document</t>
        </is>
      </c>
      <c r="C15" s="42" t="inlineStr">
        <is>
          <t>The title everyone sees in the shared space</t>
        </is>
      </c>
      <c r="D15" s="43" t="inlineStr">
        <is>
          <t>Yes</t>
        </is>
      </c>
      <c r="E15" s="43" t="inlineStr">
        <is>
          <t>Other people</t>
        </is>
      </c>
      <c r="F15" s="43" t="inlineStr">
        <is>
          <t>Yes</t>
        </is>
      </c>
      <c r="G15" s="23">
        <f>IF(OR(B15="",D15="",E15=""),"",IF(AND(D15="Yes",OR(E15="Nobody",E15="The user only")),"Agent acts","Preview and consent"))</f>
        <v/>
      </c>
      <c r="H15" s="43" t="inlineStr">
        <is>
          <t>Agent acts</t>
        </is>
      </c>
      <c r="I15" s="23">
        <f>IF(H15&lt;&gt;"",H15,G15)</f>
        <v/>
      </c>
      <c r="J15" s="23">
        <f>IF(AND(H15&lt;&gt;"",H15&lt;&gt;G15),"Yes","")</f>
        <v/>
      </c>
      <c r="K15" s="42" t="n"/>
      <c r="Z15" s="14" t="inlineStr">
        <is>
          <t>Not allowed</t>
        </is>
      </c>
    </row>
    <row r="16" ht="35" customHeight="1">
      <c r="A16" s="20" t="n">
        <v>9</v>
      </c>
      <c r="B16" s="42" t="inlineStr">
        <is>
          <t>Change sharing permissions</t>
        </is>
      </c>
      <c r="C16" s="42" t="inlineStr">
        <is>
          <t>Who can open and edit the document</t>
        </is>
      </c>
      <c r="D16" s="43" t="inlineStr">
        <is>
          <t>No</t>
        </is>
      </c>
      <c r="E16" s="43" t="inlineStr">
        <is>
          <t>Other people</t>
        </is>
      </c>
      <c r="F16" s="43" t="inlineStr">
        <is>
          <t>No</t>
        </is>
      </c>
      <c r="G16" s="23">
        <f>IF(OR(B16="",D16="",E16=""),"",IF(AND(D16="Yes",OR(E16="Nobody",E16="The user only")),"Agent acts","Preview and consent"))</f>
        <v/>
      </c>
      <c r="H16" s="43" t="inlineStr">
        <is>
          <t>Not allowed</t>
        </is>
      </c>
      <c r="I16" s="23">
        <f>IF(H16&lt;&gt;"",H16,G16)</f>
        <v/>
      </c>
      <c r="J16" s="23">
        <f>IF(AND(H16&lt;&gt;"",H16&lt;&gt;G16),"Yes","")</f>
        <v/>
      </c>
      <c r="K16" s="42" t="inlineStr">
        <is>
          <t>The agent doesn’t need this; sharing stays with the user</t>
        </is>
      </c>
    </row>
    <row r="17" ht="30" customHeight="1">
      <c r="A17" s="20" t="n">
        <v>10</v>
      </c>
      <c r="B17" s="42" t="n"/>
      <c r="C17" s="42" t="n"/>
      <c r="D17" s="43" t="n"/>
      <c r="E17" s="43" t="n"/>
      <c r="F17" s="43" t="n"/>
      <c r="G17" s="23">
        <f>IF(OR(B17="",D17="",E17=""),"",IF(AND(D17="Yes",OR(E17="Nobody",E17="The user only")),"Agent acts","Preview and consent"))</f>
        <v/>
      </c>
      <c r="H17" s="43" t="n"/>
      <c r="I17" s="23">
        <f>IF(H17&lt;&gt;"",H17,G17)</f>
        <v/>
      </c>
      <c r="J17" s="23">
        <f>IF(AND(H17&lt;&gt;"",H17&lt;&gt;G17),"Yes","")</f>
        <v/>
      </c>
      <c r="K17" s="42" t="n"/>
      <c r="Z17" s="14" t="inlineStr">
        <is>
          <t>Yes</t>
        </is>
      </c>
    </row>
    <row r="18" ht="30" customHeight="1">
      <c r="A18" s="20" t="n">
        <v>11</v>
      </c>
      <c r="B18" s="42" t="n"/>
      <c r="C18" s="42" t="n"/>
      <c r="D18" s="43" t="n"/>
      <c r="E18" s="43" t="n"/>
      <c r="F18" s="43" t="n"/>
      <c r="G18" s="23">
        <f>IF(OR(B18="",D18="",E18=""),"",IF(AND(D18="Yes",OR(E18="Nobody",E18="The user only")),"Agent acts","Preview and consent"))</f>
        <v/>
      </c>
      <c r="H18" s="43" t="n"/>
      <c r="I18" s="23">
        <f>IF(H18&lt;&gt;"",H18,G18)</f>
        <v/>
      </c>
      <c r="J18" s="23">
        <f>IF(AND(H18&lt;&gt;"",H18&lt;&gt;G18),"Yes","")</f>
        <v/>
      </c>
      <c r="K18" s="42" t="n"/>
      <c r="Z18" s="14" t="inlineStr">
        <is>
          <t>Partial</t>
        </is>
      </c>
    </row>
    <row r="19" ht="30" customHeight="1">
      <c r="A19" s="20" t="n">
        <v>12</v>
      </c>
      <c r="B19" s="42" t="n"/>
      <c r="C19" s="42" t="n"/>
      <c r="D19" s="43" t="n"/>
      <c r="E19" s="43" t="n"/>
      <c r="F19" s="43" t="n"/>
      <c r="G19" s="23">
        <f>IF(OR(B19="",D19="",E19=""),"",IF(AND(D19="Yes",OR(E19="Nobody",E19="The user only")),"Agent acts","Preview and consent"))</f>
        <v/>
      </c>
      <c r="H19" s="43" t="n"/>
      <c r="I19" s="23">
        <f>IF(H19&lt;&gt;"",H19,G19)</f>
        <v/>
      </c>
      <c r="J19" s="23">
        <f>IF(AND(H19&lt;&gt;"",H19&lt;&gt;G19),"Yes","")</f>
        <v/>
      </c>
      <c r="K19" s="42" t="n"/>
      <c r="Z19" s="14" t="inlineStr">
        <is>
          <t>No</t>
        </is>
      </c>
    </row>
    <row r="20" ht="30" customHeight="1">
      <c r="A20" s="20" t="n">
        <v>13</v>
      </c>
      <c r="B20" s="42" t="n"/>
      <c r="C20" s="42" t="n"/>
      <c r="D20" s="43" t="n"/>
      <c r="E20" s="43" t="n"/>
      <c r="F20" s="43" t="n"/>
      <c r="G20" s="23">
        <f>IF(OR(B20="",D20="",E20=""),"",IF(AND(D20="Yes",OR(E20="Nobody",E20="The user only")),"Agent acts","Preview and consent"))</f>
        <v/>
      </c>
      <c r="H20" s="43" t="n"/>
      <c r="I20" s="23">
        <f>IF(H20&lt;&gt;"",H20,G20)</f>
        <v/>
      </c>
      <c r="J20" s="23">
        <f>IF(AND(H20&lt;&gt;"",H20&lt;&gt;G20),"Yes","")</f>
        <v/>
      </c>
      <c r="K20" s="42" t="n"/>
    </row>
    <row r="21" ht="30" customHeight="1">
      <c r="A21" s="20" t="n">
        <v>14</v>
      </c>
      <c r="B21" s="42" t="n"/>
      <c r="C21" s="42" t="n"/>
      <c r="D21" s="43" t="n"/>
      <c r="E21" s="43" t="n"/>
      <c r="F21" s="43" t="n"/>
      <c r="G21" s="23">
        <f>IF(OR(B21="",D21="",E21=""),"",IF(AND(D21="Yes",OR(E21="Nobody",E21="The user only")),"Agent acts","Preview and consent"))</f>
        <v/>
      </c>
      <c r="H21" s="43" t="n"/>
      <c r="I21" s="23">
        <f>IF(H21&lt;&gt;"",H21,G21)</f>
        <v/>
      </c>
      <c r="J21" s="23">
        <f>IF(AND(H21&lt;&gt;"",H21&lt;&gt;G21),"Yes","")</f>
        <v/>
      </c>
      <c r="K21" s="42" t="n"/>
      <c r="Z21" s="14" t="inlineStr">
        <is>
          <t>Changes nothing</t>
        </is>
      </c>
    </row>
    <row r="22" ht="30" customHeight="1">
      <c r="A22" s="20" t="n">
        <v>15</v>
      </c>
      <c r="B22" s="42" t="n"/>
      <c r="C22" s="42" t="n"/>
      <c r="D22" s="43" t="n"/>
      <c r="E22" s="43" t="n"/>
      <c r="F22" s="43" t="n"/>
      <c r="G22" s="23">
        <f>IF(OR(B22="",D22="",E22=""),"",IF(AND(D22="Yes",OR(E22="Nobody",E22="The user only")),"Agent acts","Preview and consent"))</f>
        <v/>
      </c>
      <c r="H22" s="43" t="n"/>
      <c r="I22" s="23">
        <f>IF(H22&lt;&gt;"",H22,G22)</f>
        <v/>
      </c>
      <c r="J22" s="23">
        <f>IF(AND(H22&lt;&gt;"",H22&lt;&gt;G22),"Yes","")</f>
        <v/>
      </c>
      <c r="K22" s="42" t="n"/>
      <c r="Z22" s="14" t="inlineStr">
        <is>
          <t>Revises and asks again</t>
        </is>
      </c>
    </row>
    <row r="23" ht="30" customHeight="1">
      <c r="A23" s="20" t="n">
        <v>16</v>
      </c>
      <c r="B23" s="42" t="n"/>
      <c r="C23" s="42" t="n"/>
      <c r="D23" s="43" t="n"/>
      <c r="E23" s="43" t="n"/>
      <c r="F23" s="43" t="n"/>
      <c r="G23" s="23">
        <f>IF(OR(B23="",D23="",E23=""),"",IF(AND(D23="Yes",OR(E23="Nobody",E23="The user only")),"Agent acts","Preview and consent"))</f>
        <v/>
      </c>
      <c r="H23" s="43" t="n"/>
      <c r="I23" s="23">
        <f>IF(H23&lt;&gt;"",H23,G23)</f>
        <v/>
      </c>
      <c r="J23" s="23">
        <f>IF(AND(H23&lt;&gt;"",H23&lt;&gt;G23),"Yes","")</f>
        <v/>
      </c>
      <c r="K23" s="42" t="n"/>
      <c r="Z23" s="14" t="inlineStr">
        <is>
          <t>Proceeds anyway</t>
        </is>
      </c>
    </row>
    <row r="24" ht="30" customHeight="1">
      <c r="A24" s="20" t="n">
        <v>17</v>
      </c>
      <c r="B24" s="42" t="n"/>
      <c r="C24" s="42" t="n"/>
      <c r="D24" s="43" t="n"/>
      <c r="E24" s="43" t="n"/>
      <c r="F24" s="43" t="n"/>
      <c r="G24" s="23">
        <f>IF(OR(B24="",D24="",E24=""),"",IF(AND(D24="Yes",OR(E24="Nobody",E24="The user only")),"Agent acts","Preview and consent"))</f>
        <v/>
      </c>
      <c r="H24" s="43" t="n"/>
      <c r="I24" s="23">
        <f>IF(H24&lt;&gt;"",H24,G24)</f>
        <v/>
      </c>
      <c r="J24" s="23">
        <f>IF(AND(H24&lt;&gt;"",H24&lt;&gt;G24),"Yes","")</f>
        <v/>
      </c>
      <c r="K24" s="42" t="n"/>
      <c r="Z24" s="14" t="inlineStr">
        <is>
          <t>Not decided</t>
        </is>
      </c>
    </row>
    <row r="25" ht="30" customHeight="1">
      <c r="A25" s="20" t="n">
        <v>18</v>
      </c>
      <c r="B25" s="42" t="n"/>
      <c r="C25" s="42" t="n"/>
      <c r="D25" s="43" t="n"/>
      <c r="E25" s="43" t="n"/>
      <c r="F25" s="43" t="n"/>
      <c r="G25" s="23">
        <f>IF(OR(B25="",D25="",E25=""),"",IF(AND(D25="Yes",OR(E25="Nobody",E25="The user only")),"Agent acts","Preview and consent"))</f>
        <v/>
      </c>
      <c r="H25" s="43" t="n"/>
      <c r="I25" s="23">
        <f>IF(H25&lt;&gt;"",H25,G25)</f>
        <v/>
      </c>
      <c r="J25" s="23">
        <f>IF(AND(H25&lt;&gt;"",H25&lt;&gt;G25),"Yes","")</f>
        <v/>
      </c>
      <c r="K25" s="42" t="n"/>
    </row>
    <row r="26" ht="30" customHeight="1">
      <c r="A26" s="20" t="n">
        <v>19</v>
      </c>
      <c r="B26" s="42" t="n"/>
      <c r="C26" s="42" t="n"/>
      <c r="D26" s="43" t="n"/>
      <c r="E26" s="43" t="n"/>
      <c r="F26" s="43" t="n"/>
      <c r="G26" s="23">
        <f>IF(OR(B26="",D26="",E26=""),"",IF(AND(D26="Yes",OR(E26="Nobody",E26="The user only")),"Agent acts","Preview and consent"))</f>
        <v/>
      </c>
      <c r="H26" s="43" t="n"/>
      <c r="I26" s="23">
        <f>IF(H26&lt;&gt;"",H26,G26)</f>
        <v/>
      </c>
      <c r="J26" s="23">
        <f>IF(AND(H26&lt;&gt;"",H26&lt;&gt;G26),"Yes","")</f>
        <v/>
      </c>
      <c r="K26" s="42" t="n"/>
    </row>
    <row r="27" ht="30" customHeight="1">
      <c r="A27" s="20" t="n">
        <v>20</v>
      </c>
      <c r="B27" s="42" t="n"/>
      <c r="C27" s="42" t="n"/>
      <c r="D27" s="43" t="n"/>
      <c r="E27" s="43" t="n"/>
      <c r="F27" s="43" t="n"/>
      <c r="G27" s="23">
        <f>IF(OR(B27="",D27="",E27=""),"",IF(AND(D27="Yes",OR(E27="Nobody",E27="The user only")),"Agent acts","Preview and consent"))</f>
        <v/>
      </c>
      <c r="H27" s="43" t="n"/>
      <c r="I27" s="23">
        <f>IF(H27&lt;&gt;"",H27,G27)</f>
        <v/>
      </c>
      <c r="J27" s="23">
        <f>IF(AND(H27&lt;&gt;"",H27&lt;&gt;G27),"Yes","")</f>
        <v/>
      </c>
      <c r="K27" s="42" t="n"/>
    </row>
    <row r="29" ht="26" customHeight="1">
      <c r="A29" s="24" t="inlineStr">
        <is>
          <t>Summary</t>
        </is>
      </c>
    </row>
    <row r="30" ht="24" customHeight="1">
      <c r="A30" s="13" t="inlineStr">
        <is>
          <t>Actions listed</t>
        </is>
      </c>
      <c r="C30" s="25">
        <f>COUNTA(B8:B27)</f>
        <v/>
      </c>
    </row>
    <row r="32">
      <c r="A32" s="26" t="inlineStr">
        <is>
          <t>ACTIONS BY AUTHORITY</t>
        </is>
      </c>
      <c r="C32" s="27" t="inlineStr">
        <is>
          <t>Final</t>
        </is>
      </c>
      <c r="D32" s="27" t="inlineStr">
        <is>
          <t>Suggested</t>
        </is>
      </c>
    </row>
    <row r="33" ht="22" customHeight="1">
      <c r="B33" s="28" t="inlineStr">
        <is>
          <t>Agent acts</t>
        </is>
      </c>
      <c r="C33" s="29">
        <f>COUNTIF(I8:I27,"Agent acts")</f>
        <v/>
      </c>
      <c r="D33" s="30">
        <f>COUNTIF(G8:G27,"Agent acts")</f>
        <v/>
      </c>
    </row>
    <row r="34" ht="22" customHeight="1">
      <c r="B34" s="31" t="inlineStr">
        <is>
          <t>Preview and consent</t>
        </is>
      </c>
      <c r="C34" s="29">
        <f>COUNTIF(I8:I27,"Preview and consent")</f>
        <v/>
      </c>
      <c r="D34" s="30">
        <f>COUNTIF(G8:G27,"Preview and consent")</f>
        <v/>
      </c>
    </row>
    <row r="35" ht="22" customHeight="1">
      <c r="B35" s="32" t="inlineStr">
        <is>
          <t>Not allowed</t>
        </is>
      </c>
      <c r="C35" s="29">
        <f>COUNTIF(I8:I27,"Not allowed")</f>
        <v/>
      </c>
      <c r="D35" s="30">
        <f>COUNTIF(G8:G27,"Not allowed")</f>
        <v/>
      </c>
    </row>
    <row r="37" ht="24" customHeight="1">
      <c r="A37" s="13" t="inlineStr">
        <is>
          <t>Actions with no authority</t>
        </is>
      </c>
      <c r="C37" s="25">
        <f>SUMPRODUCT((B8:B27&lt;&gt;"")*(I8:I27=""))</f>
        <v/>
      </c>
      <c r="D37" s="19" t="inlineStr">
        <is>
          <t>Actions with a name and no authority. Fill in D and E, or choose an authority.</t>
        </is>
      </c>
    </row>
    <row r="38" ht="24" customHeight="1">
      <c r="A38" s="13" t="inlineStr">
        <is>
          <t>Undo not tested</t>
        </is>
      </c>
      <c r="C38" s="25">
        <f>SUMPRODUCT((B8:B27&lt;&gt;"")*(F8:F27&lt;&gt;"Yes"))</f>
        <v/>
      </c>
      <c r="D38" s="19" t="inlineStr">
        <is>
          <t>Actions where nobody has actually tried the undo.</t>
        </is>
      </c>
    </row>
    <row r="39" ht="24" customHeight="1">
      <c r="A39" s="13" t="inlineStr">
        <is>
          <t>Overrides</t>
        </is>
      </c>
      <c r="C39" s="25">
        <f>COUNTIF(J8:J27,"Yes")</f>
        <v/>
      </c>
      <c r="D39" s="19" t="inlineStr">
        <is>
          <t>Actions where the authority chosen differs from the suggestion.</t>
        </is>
      </c>
    </row>
    <row r="40" ht="24" customHeight="1">
      <c r="A40" s="13" t="inlineStr">
        <is>
          <t>Overrides with no reason</t>
        </is>
      </c>
      <c r="C40" s="25">
        <f>SUMPRODUCT((J8:J27="Yes")*(K8:K27=""))</f>
        <v/>
      </c>
      <c r="D40" s="19" t="inlineStr">
        <is>
          <t>Write the reason in column K.</t>
        </is>
      </c>
    </row>
    <row r="41" ht="30" customHeight="1">
      <c r="A41" s="13" t="inlineStr">
        <is>
          <t>Actions that need consent but the agent takes alone</t>
        </is>
      </c>
      <c r="C41" s="25">
        <f>COUNTIFS(G8:G27,"Preview and consent",I8:I27,"Agent acts")</f>
        <v/>
      </c>
      <c r="D41" s="19" t="inlineStr">
        <is>
          <t>Suggested Preview and consent, chosen Agent acts: an override that removed consent.</t>
        </is>
      </c>
    </row>
    <row r="44" ht="28" customHeight="1">
      <c r="A44" s="18" t="inlineStr">
        <is>
          <t>2 · Authority Requirements</t>
        </is>
      </c>
    </row>
    <row r="45" ht="20" customHeight="1">
      <c r="A45" s="3" t="inlineStr">
        <is>
          <t>Does each authority level have what it needs?</t>
        </is>
      </c>
    </row>
    <row r="46" ht="30" customHeight="1">
      <c r="A46" s="19" t="inlineStr">
        <is>
          <t>Rows mirror the Action Inventory. Fill in only the columns for the row’s final authority; the others are greyed out. Each row names the first thing missing.</t>
        </is>
      </c>
    </row>
    <row r="48" ht="20" customHeight="1">
      <c r="E48" s="33" t="inlineStr">
        <is>
          <t>Agent acts</t>
        </is>
      </c>
      <c r="F48" s="34" t="inlineStr">
        <is>
          <t>Preview and consent</t>
        </is>
      </c>
      <c r="L48" s="35" t="inlineStr">
        <is>
          <t>Not allowed</t>
        </is>
      </c>
    </row>
    <row r="49" ht="72" customHeight="1">
      <c r="A49" s="6" t="inlineStr">
        <is>
          <t>#</t>
        </is>
      </c>
      <c r="B49" s="6" t="inlineStr">
        <is>
          <t>Action</t>
        </is>
      </c>
      <c r="C49" s="6" t="inlineStr">
        <is>
          <t>Final authority</t>
        </is>
      </c>
      <c r="D49" s="6" t="inlineStr">
        <is>
          <t>Undo tested?</t>
        </is>
      </c>
      <c r="E49" s="6" t="inlineStr">
        <is>
          <t>Undo path</t>
        </is>
      </c>
      <c r="F49" s="6" t="inlineStr">
        <is>
          <t>Preview shows the full change?</t>
        </is>
      </c>
      <c r="G49" s="6" t="inlineStr">
        <is>
          <t>Preview says what can’t be undone?</t>
        </is>
      </c>
      <c r="H49" s="6" t="inlineStr">
        <is>
          <t>Who consents</t>
        </is>
      </c>
      <c r="I49" s="6" t="inlineStr">
        <is>
          <t>Consent is given per change (not a standing “always allow”)?</t>
        </is>
      </c>
      <c r="J49" s="6" t="inlineStr">
        <is>
          <t>Agent acts as that person, and the log records who approved?</t>
        </is>
      </c>
      <c r="K49" s="6" t="inlineStr">
        <is>
          <t>If consent is refused, the agent…</t>
        </is>
      </c>
      <c r="L49" s="6" t="inlineStr">
        <is>
          <t>Access removed?</t>
        </is>
      </c>
      <c r="M49" s="6" t="inlineStr">
        <is>
          <t>Authority ready?</t>
        </is>
      </c>
      <c r="N49" s="6" t="inlineStr">
        <is>
          <t>Why not ready</t>
        </is>
      </c>
    </row>
    <row r="50" ht="35" customHeight="1">
      <c r="A50" s="20" t="n">
        <v>1</v>
      </c>
      <c r="B50" s="8">
        <f>IF(B8="","",B8)</f>
        <v/>
      </c>
      <c r="C50" s="23">
        <f>IF(I8="","",I8)</f>
        <v/>
      </c>
      <c r="D50" s="23">
        <f>IF(F8="","",F8)</f>
        <v/>
      </c>
      <c r="E50" s="42" t="inlineStr">
        <is>
          <t>Discard the preview</t>
        </is>
      </c>
      <c r="F50" s="43" t="n"/>
      <c r="G50" s="43" t="n"/>
      <c r="H50" s="42" t="n"/>
      <c r="I50" s="43" t="n"/>
      <c r="J50" s="43" t="n"/>
      <c r="K50" s="43" t="n"/>
      <c r="L50" s="43" t="n"/>
      <c r="M50" s="23">
        <f>IF(C50="","",IF(N50="","Ready","Not ready"))</f>
        <v/>
      </c>
      <c r="N50" s="8">
        <f>IF(C50="","",IF(C50="Agent acts",IF(E50="","No undo path",IF(D50&lt;&gt;"Yes","Undo not tested","")),IF(C50="Preview and consent",IF(F50&lt;&gt;"Yes","Preview doesn’t show the full change",IF(G50&lt;&gt;"Yes","Preview doesn’t say what can’t be undone",IF(H50="","No named person gives consent",IF(I50&lt;&gt;"Yes","Consent is a standing default, not per change",IF(J50&lt;&gt;"Yes","Agent doesn’t act as the consenting person",IF(AND(K50&lt;&gt;"Changes nothing",K50&lt;&gt;"Revises and asks again"),"No safe outcome when consent is refused","")))))),IF(C50="Not allowed",IF(L50&lt;&gt;"Yes","Access not removed",""),""))))</f>
        <v/>
      </c>
    </row>
    <row r="51" ht="35" customHeight="1">
      <c r="A51" s="20" t="n">
        <v>2</v>
      </c>
      <c r="B51" s="8">
        <f>IF(B9="","",B9)</f>
        <v/>
      </c>
      <c r="C51" s="23">
        <f>IF(I9="","",I9)</f>
        <v/>
      </c>
      <c r="D51" s="23">
        <f>IF(F9="","",F9)</f>
        <v/>
      </c>
      <c r="E51" s="42" t="inlineStr">
        <is>
          <t>Undo in the editor</t>
        </is>
      </c>
      <c r="F51" s="43" t="n"/>
      <c r="G51" s="43" t="n"/>
      <c r="H51" s="42" t="n"/>
      <c r="I51" s="43" t="n"/>
      <c r="J51" s="43" t="n"/>
      <c r="K51" s="43" t="n"/>
      <c r="L51" s="43" t="n"/>
      <c r="M51" s="23">
        <f>IF(C51="","",IF(N51="","Ready","Not ready"))</f>
        <v/>
      </c>
      <c r="N51" s="8">
        <f>IF(C51="","",IF(C51="Agent acts",IF(E51="","No undo path",IF(D51&lt;&gt;"Yes","Undo not tested","")),IF(C51="Preview and consent",IF(F51&lt;&gt;"Yes","Preview doesn’t show the full change",IF(G51&lt;&gt;"Yes","Preview doesn’t say what can’t be undone",IF(H51="","No named person gives consent",IF(I51&lt;&gt;"Yes","Consent is a standing default, not per change",IF(J51&lt;&gt;"Yes","Agent doesn’t act as the consenting person",IF(AND(K51&lt;&gt;"Changes nothing",K51&lt;&gt;"Revises and asks again"),"No safe outcome when consent is refused","")))))),IF(C51="Not allowed",IF(L51&lt;&gt;"Yes","Access not removed",""),""))))</f>
        <v/>
      </c>
    </row>
    <row r="52" ht="30" customHeight="1">
      <c r="A52" s="20" t="n">
        <v>3</v>
      </c>
      <c r="B52" s="8">
        <f>IF(B10="","",B10)</f>
        <v/>
      </c>
      <c r="C52" s="23">
        <f>IF(I10="","",I10)</f>
        <v/>
      </c>
      <c r="D52" s="23">
        <f>IF(F10="","",F10)</f>
        <v/>
      </c>
      <c r="E52" s="42" t="n"/>
      <c r="F52" s="43" t="inlineStr">
        <is>
          <t>Yes</t>
        </is>
      </c>
      <c r="G52" s="43" t="inlineStr">
        <is>
          <t>No</t>
        </is>
      </c>
      <c r="H52" s="42" t="inlineStr">
        <is>
          <t>Document owner</t>
        </is>
      </c>
      <c r="I52" s="43" t="inlineStr">
        <is>
          <t>Yes</t>
        </is>
      </c>
      <c r="J52" s="43" t="inlineStr">
        <is>
          <t>Yes</t>
        </is>
      </c>
      <c r="K52" s="43" t="inlineStr">
        <is>
          <t>Changes nothing</t>
        </is>
      </c>
      <c r="L52" s="43" t="n"/>
      <c r="M52" s="23">
        <f>IF(C52="","",IF(N52="","Ready","Not ready"))</f>
        <v/>
      </c>
      <c r="N52" s="8">
        <f>IF(C52="","",IF(C52="Agent acts",IF(E52="","No undo path",IF(D52&lt;&gt;"Yes","Undo not tested","")),IF(C52="Preview and consent",IF(F52&lt;&gt;"Yes","Preview doesn’t show the full change",IF(G52&lt;&gt;"Yes","Preview doesn’t say what can’t be undone",IF(H52="","No named person gives consent",IF(I52&lt;&gt;"Yes","Consent is a standing default, not per change",IF(J52&lt;&gt;"Yes","Agent doesn’t act as the consenting person",IF(AND(K52&lt;&gt;"Changes nothing",K52&lt;&gt;"Revises and asks again"),"No safe outcome when consent is refused","")))))),IF(C52="Not allowed",IF(L52&lt;&gt;"Yes","Access not removed",""),""))))</f>
        <v/>
      </c>
    </row>
    <row r="53" ht="30" customHeight="1">
      <c r="A53" s="20" t="n">
        <v>4</v>
      </c>
      <c r="B53" s="8">
        <f>IF(B11="","",B11)</f>
        <v/>
      </c>
      <c r="C53" s="23">
        <f>IF(I11="","",I11)</f>
        <v/>
      </c>
      <c r="D53" s="23">
        <f>IF(F11="","",F11)</f>
        <v/>
      </c>
      <c r="E53" s="42" t="n"/>
      <c r="F53" s="43" t="inlineStr">
        <is>
          <t>Yes</t>
        </is>
      </c>
      <c r="G53" s="43" t="inlineStr">
        <is>
          <t>Yes</t>
        </is>
      </c>
      <c r="H53" s="42" t="inlineStr">
        <is>
          <t>Document owner</t>
        </is>
      </c>
      <c r="I53" s="43" t="inlineStr">
        <is>
          <t>Yes</t>
        </is>
      </c>
      <c r="J53" s="43" t="inlineStr">
        <is>
          <t>Yes</t>
        </is>
      </c>
      <c r="K53" s="43" t="inlineStr">
        <is>
          <t>Changes nothing</t>
        </is>
      </c>
      <c r="L53" s="43" t="n"/>
      <c r="M53" s="23">
        <f>IF(C53="","",IF(N53="","Ready","Not ready"))</f>
        <v/>
      </c>
      <c r="N53" s="8">
        <f>IF(C53="","",IF(C53="Agent acts",IF(E53="","No undo path",IF(D53&lt;&gt;"Yes","Undo not tested","")),IF(C53="Preview and consent",IF(F53&lt;&gt;"Yes","Preview doesn’t show the full change",IF(G53&lt;&gt;"Yes","Preview doesn’t say what can’t be undone",IF(H53="","No named person gives consent",IF(I53&lt;&gt;"Yes","Consent is a standing default, not per change",IF(J53&lt;&gt;"Yes","Agent doesn’t act as the consenting person",IF(AND(K53&lt;&gt;"Changes nothing",K53&lt;&gt;"Revises and asks again"),"No safe outcome when consent is refused","")))))),IF(C53="Not allowed",IF(L53&lt;&gt;"Yes","Access not removed",""),""))))</f>
        <v/>
      </c>
    </row>
    <row r="54" ht="30" customHeight="1">
      <c r="A54" s="20" t="n">
        <v>5</v>
      </c>
      <c r="B54" s="8">
        <f>IF(B12="","",B12)</f>
        <v/>
      </c>
      <c r="C54" s="23">
        <f>IF(I12="","",I12)</f>
        <v/>
      </c>
      <c r="D54" s="23">
        <f>IF(F12="","",F12)</f>
        <v/>
      </c>
      <c r="E54" s="42" t="n"/>
      <c r="F54" s="43" t="inlineStr">
        <is>
          <t>Partial</t>
        </is>
      </c>
      <c r="G54" s="43" t="inlineStr">
        <is>
          <t>Yes</t>
        </is>
      </c>
      <c r="H54" s="42" t="inlineStr">
        <is>
          <t>Document owner</t>
        </is>
      </c>
      <c r="I54" s="43" t="inlineStr">
        <is>
          <t>No</t>
        </is>
      </c>
      <c r="J54" s="43" t="inlineStr">
        <is>
          <t>Yes</t>
        </is>
      </c>
      <c r="K54" s="43" t="inlineStr">
        <is>
          <t>Changes nothing</t>
        </is>
      </c>
      <c r="L54" s="43" t="n"/>
      <c r="M54" s="23">
        <f>IF(C54="","",IF(N54="","Ready","Not ready"))</f>
        <v/>
      </c>
      <c r="N54" s="8">
        <f>IF(C54="","",IF(C54="Agent acts",IF(E54="","No undo path",IF(D54&lt;&gt;"Yes","Undo not tested","")),IF(C54="Preview and consent",IF(F54&lt;&gt;"Yes","Preview doesn’t show the full change",IF(G54&lt;&gt;"Yes","Preview doesn’t say what can’t be undone",IF(H54="","No named person gives consent",IF(I54&lt;&gt;"Yes","Consent is a standing default, not per change",IF(J54&lt;&gt;"Yes","Agent doesn’t act as the consenting person",IF(AND(K54&lt;&gt;"Changes nothing",K54&lt;&gt;"Revises and asks again"),"No safe outcome when consent is refused","")))))),IF(C54="Not allowed",IF(L54&lt;&gt;"Yes","Access not removed",""),""))))</f>
        <v/>
      </c>
    </row>
    <row r="55" ht="30" customHeight="1">
      <c r="A55" s="20" t="n">
        <v>6</v>
      </c>
      <c r="B55" s="8">
        <f>IF(B13="","",B13)</f>
        <v/>
      </c>
      <c r="C55" s="23">
        <f>IF(I13="","",I13)</f>
        <v/>
      </c>
      <c r="D55" s="23">
        <f>IF(F13="","",F13)</f>
        <v/>
      </c>
      <c r="E55" s="42" t="n"/>
      <c r="F55" s="43" t="inlineStr">
        <is>
          <t>Yes</t>
        </is>
      </c>
      <c r="G55" s="43" t="inlineStr">
        <is>
          <t>Yes</t>
        </is>
      </c>
      <c r="H55" s="42" t="n"/>
      <c r="I55" s="43" t="inlineStr">
        <is>
          <t>Yes</t>
        </is>
      </c>
      <c r="J55" s="43" t="inlineStr">
        <is>
          <t>No</t>
        </is>
      </c>
      <c r="K55" s="43" t="inlineStr">
        <is>
          <t>Not decided</t>
        </is>
      </c>
      <c r="L55" s="43" t="n"/>
      <c r="M55" s="23">
        <f>IF(C55="","",IF(N55="","Ready","Not ready"))</f>
        <v/>
      </c>
      <c r="N55" s="8">
        <f>IF(C55="","",IF(C55="Agent acts",IF(E55="","No undo path",IF(D55&lt;&gt;"Yes","Undo not tested","")),IF(C55="Preview and consent",IF(F55&lt;&gt;"Yes","Preview doesn’t show the full change",IF(G55&lt;&gt;"Yes","Preview doesn’t say what can’t be undone",IF(H55="","No named person gives consent",IF(I55&lt;&gt;"Yes","Consent is a standing default, not per change",IF(J55&lt;&gt;"Yes","Agent doesn’t act as the consenting person",IF(AND(K55&lt;&gt;"Changes nothing",K55&lt;&gt;"Revises and asks again"),"No safe outcome when consent is refused","")))))),IF(C55="Not allowed",IF(L55&lt;&gt;"Yes","Access not removed",""),""))))</f>
        <v/>
      </c>
    </row>
    <row r="56" ht="35" customHeight="1">
      <c r="A56" s="20" t="n">
        <v>7</v>
      </c>
      <c r="B56" s="8">
        <f>IF(B14="","",B14)</f>
        <v/>
      </c>
      <c r="C56" s="23">
        <f>IF(I14="","",I14)</f>
        <v/>
      </c>
      <c r="D56" s="23">
        <f>IF(F14="","",F14)</f>
        <v/>
      </c>
      <c r="E56" s="42" t="n"/>
      <c r="F56" s="43" t="inlineStr">
        <is>
          <t>Yes</t>
        </is>
      </c>
      <c r="G56" s="43" t="inlineStr">
        <is>
          <t>Yes</t>
        </is>
      </c>
      <c r="H56" s="42" t="inlineStr">
        <is>
          <t>Document owner</t>
        </is>
      </c>
      <c r="I56" s="43" t="inlineStr">
        <is>
          <t>Yes</t>
        </is>
      </c>
      <c r="J56" s="43" t="inlineStr">
        <is>
          <t>Yes</t>
        </is>
      </c>
      <c r="K56" s="43" t="inlineStr">
        <is>
          <t>Revises and asks again</t>
        </is>
      </c>
      <c r="L56" s="43" t="n"/>
      <c r="M56" s="23">
        <f>IF(C56="","",IF(N56="","Ready","Not ready"))</f>
        <v/>
      </c>
      <c r="N56" s="8">
        <f>IF(C56="","",IF(C56="Agent acts",IF(E56="","No undo path",IF(D56&lt;&gt;"Yes","Undo not tested","")),IF(C56="Preview and consent",IF(F56&lt;&gt;"Yes","Preview doesn’t show the full change",IF(G56&lt;&gt;"Yes","Preview doesn’t say what can’t be undone",IF(H56="","No named person gives consent",IF(I56&lt;&gt;"Yes","Consent is a standing default, not per change",IF(J56&lt;&gt;"Yes","Agent doesn’t act as the consenting person",IF(AND(K56&lt;&gt;"Changes nothing",K56&lt;&gt;"Revises and asks again"),"No safe outcome when consent is refused","")))))),IF(C56="Not allowed",IF(L56&lt;&gt;"Yes","Access not removed",""),""))))</f>
        <v/>
      </c>
    </row>
    <row r="57" ht="30" customHeight="1">
      <c r="A57" s="20" t="n">
        <v>8</v>
      </c>
      <c r="B57" s="8">
        <f>IF(B15="","",B15)</f>
        <v/>
      </c>
      <c r="C57" s="23">
        <f>IF(I15="","",I15)</f>
        <v/>
      </c>
      <c r="D57" s="23">
        <f>IF(F15="","",F15)</f>
        <v/>
      </c>
      <c r="E57" s="42" t="inlineStr">
        <is>
          <t>Rename it back</t>
        </is>
      </c>
      <c r="F57" s="43" t="n"/>
      <c r="G57" s="43" t="n"/>
      <c r="H57" s="42" t="n"/>
      <c r="I57" s="43" t="n"/>
      <c r="J57" s="43" t="n"/>
      <c r="K57" s="43" t="n"/>
      <c r="L57" s="43" t="n"/>
      <c r="M57" s="23">
        <f>IF(C57="","",IF(N57="","Ready","Not ready"))</f>
        <v/>
      </c>
      <c r="N57" s="8">
        <f>IF(C57="","",IF(C57="Agent acts",IF(E57="","No undo path",IF(D57&lt;&gt;"Yes","Undo not tested","")),IF(C57="Preview and consent",IF(F57&lt;&gt;"Yes","Preview doesn’t show the full change",IF(G57&lt;&gt;"Yes","Preview doesn’t say what can’t be undone",IF(H57="","No named person gives consent",IF(I57&lt;&gt;"Yes","Consent is a standing default, not per change",IF(J57&lt;&gt;"Yes","Agent doesn’t act as the consenting person",IF(AND(K57&lt;&gt;"Changes nothing",K57&lt;&gt;"Revises and asks again"),"No safe outcome when consent is refused","")))))),IF(C57="Not allowed",IF(L57&lt;&gt;"Yes","Access not removed",""),""))))</f>
        <v/>
      </c>
    </row>
    <row r="58" ht="30" customHeight="1">
      <c r="A58" s="20" t="n">
        <v>9</v>
      </c>
      <c r="B58" s="8">
        <f>IF(B16="","",B16)</f>
        <v/>
      </c>
      <c r="C58" s="23">
        <f>IF(I16="","",I16)</f>
        <v/>
      </c>
      <c r="D58" s="23">
        <f>IF(F16="","",F16)</f>
        <v/>
      </c>
      <c r="E58" s="42" t="n"/>
      <c r="F58" s="43" t="n"/>
      <c r="G58" s="43" t="n"/>
      <c r="H58" s="42" t="n"/>
      <c r="I58" s="43" t="n"/>
      <c r="J58" s="43" t="n"/>
      <c r="K58" s="43" t="n"/>
      <c r="L58" s="43" t="inlineStr">
        <is>
          <t>No</t>
        </is>
      </c>
      <c r="M58" s="23">
        <f>IF(C58="","",IF(N58="","Ready","Not ready"))</f>
        <v/>
      </c>
      <c r="N58" s="8">
        <f>IF(C58="","",IF(C58="Agent acts",IF(E58="","No undo path",IF(D58&lt;&gt;"Yes","Undo not tested","")),IF(C58="Preview and consent",IF(F58&lt;&gt;"Yes","Preview doesn’t show the full change",IF(G58&lt;&gt;"Yes","Preview doesn’t say what can’t be undone",IF(H58="","No named person gives consent",IF(I58&lt;&gt;"Yes","Consent is a standing default, not per change",IF(J58&lt;&gt;"Yes","Agent doesn’t act as the consenting person",IF(AND(K58&lt;&gt;"Changes nothing",K58&lt;&gt;"Revises and asks again"),"No safe outcome when consent is refused","")))))),IF(C58="Not allowed",IF(L58&lt;&gt;"Yes","Access not removed",""),""))))</f>
        <v/>
      </c>
    </row>
    <row r="59" ht="30" customHeight="1">
      <c r="A59" s="20" t="n">
        <v>10</v>
      </c>
      <c r="B59" s="8">
        <f>IF(B17="","",B17)</f>
        <v/>
      </c>
      <c r="C59" s="23">
        <f>IF(I17="","",I17)</f>
        <v/>
      </c>
      <c r="D59" s="23">
        <f>IF(F17="","",F17)</f>
        <v/>
      </c>
      <c r="E59" s="42" t="n"/>
      <c r="F59" s="43" t="n"/>
      <c r="G59" s="43" t="n"/>
      <c r="H59" s="42" t="n"/>
      <c r="I59" s="43" t="n"/>
      <c r="J59" s="43" t="n"/>
      <c r="K59" s="43" t="n"/>
      <c r="L59" s="43" t="n"/>
      <c r="M59" s="23">
        <f>IF(C59="","",IF(N59="","Ready","Not ready"))</f>
        <v/>
      </c>
      <c r="N59" s="8">
        <f>IF(C59="","",IF(C59="Agent acts",IF(E59="","No undo path",IF(D59&lt;&gt;"Yes","Undo not tested","")),IF(C59="Preview and consent",IF(F59&lt;&gt;"Yes","Preview doesn’t show the full change",IF(G59&lt;&gt;"Yes","Preview doesn’t say what can’t be undone",IF(H59="","No named person gives consent",IF(I59&lt;&gt;"Yes","Consent is a standing default, not per change",IF(J59&lt;&gt;"Yes","Agent doesn’t act as the consenting person",IF(AND(K59&lt;&gt;"Changes nothing",K59&lt;&gt;"Revises and asks again"),"No safe outcome when consent is refused","")))))),IF(C59="Not allowed",IF(L59&lt;&gt;"Yes","Access not removed",""),""))))</f>
        <v/>
      </c>
    </row>
    <row r="60" ht="30" customHeight="1">
      <c r="A60" s="20" t="n">
        <v>11</v>
      </c>
      <c r="B60" s="8">
        <f>IF(B18="","",B18)</f>
        <v/>
      </c>
      <c r="C60" s="23">
        <f>IF(I18="","",I18)</f>
        <v/>
      </c>
      <c r="D60" s="23">
        <f>IF(F18="","",F18)</f>
        <v/>
      </c>
      <c r="E60" s="42" t="n"/>
      <c r="F60" s="43" t="n"/>
      <c r="G60" s="43" t="n"/>
      <c r="H60" s="42" t="n"/>
      <c r="I60" s="43" t="n"/>
      <c r="J60" s="43" t="n"/>
      <c r="K60" s="43" t="n"/>
      <c r="L60" s="43" t="n"/>
      <c r="M60" s="23">
        <f>IF(C60="","",IF(N60="","Ready","Not ready"))</f>
        <v/>
      </c>
      <c r="N60" s="8">
        <f>IF(C60="","",IF(C60="Agent acts",IF(E60="","No undo path",IF(D60&lt;&gt;"Yes","Undo not tested","")),IF(C60="Preview and consent",IF(F60&lt;&gt;"Yes","Preview doesn’t show the full change",IF(G60&lt;&gt;"Yes","Preview doesn’t say what can’t be undone",IF(H60="","No named person gives consent",IF(I60&lt;&gt;"Yes","Consent is a standing default, not per change",IF(J60&lt;&gt;"Yes","Agent doesn’t act as the consenting person",IF(AND(K60&lt;&gt;"Changes nothing",K60&lt;&gt;"Revises and asks again"),"No safe outcome when consent is refused","")))))),IF(C60="Not allowed",IF(L60&lt;&gt;"Yes","Access not removed",""),""))))</f>
        <v/>
      </c>
    </row>
    <row r="61" ht="30" customHeight="1">
      <c r="A61" s="20" t="n">
        <v>12</v>
      </c>
      <c r="B61" s="8">
        <f>IF(B19="","",B19)</f>
        <v/>
      </c>
      <c r="C61" s="23">
        <f>IF(I19="","",I19)</f>
        <v/>
      </c>
      <c r="D61" s="23">
        <f>IF(F19="","",F19)</f>
        <v/>
      </c>
      <c r="E61" s="42" t="n"/>
      <c r="F61" s="43" t="n"/>
      <c r="G61" s="43" t="n"/>
      <c r="H61" s="42" t="n"/>
      <c r="I61" s="43" t="n"/>
      <c r="J61" s="43" t="n"/>
      <c r="K61" s="43" t="n"/>
      <c r="L61" s="43" t="n"/>
      <c r="M61" s="23">
        <f>IF(C61="","",IF(N61="","Ready","Not ready"))</f>
        <v/>
      </c>
      <c r="N61" s="8">
        <f>IF(C61="","",IF(C61="Agent acts",IF(E61="","No undo path",IF(D61&lt;&gt;"Yes","Undo not tested","")),IF(C61="Preview and consent",IF(F61&lt;&gt;"Yes","Preview doesn’t show the full change",IF(G61&lt;&gt;"Yes","Preview doesn’t say what can’t be undone",IF(H61="","No named person gives consent",IF(I61&lt;&gt;"Yes","Consent is a standing default, not per change",IF(J61&lt;&gt;"Yes","Agent doesn’t act as the consenting person",IF(AND(K61&lt;&gt;"Changes nothing",K61&lt;&gt;"Revises and asks again"),"No safe outcome when consent is refused","")))))),IF(C61="Not allowed",IF(L61&lt;&gt;"Yes","Access not removed",""),""))))</f>
        <v/>
      </c>
    </row>
    <row r="62" ht="30" customHeight="1">
      <c r="A62" s="20" t="n">
        <v>13</v>
      </c>
      <c r="B62" s="8">
        <f>IF(B20="","",B20)</f>
        <v/>
      </c>
      <c r="C62" s="23">
        <f>IF(I20="","",I20)</f>
        <v/>
      </c>
      <c r="D62" s="23">
        <f>IF(F20="","",F20)</f>
        <v/>
      </c>
      <c r="E62" s="42" t="n"/>
      <c r="F62" s="43" t="n"/>
      <c r="G62" s="43" t="n"/>
      <c r="H62" s="42" t="n"/>
      <c r="I62" s="43" t="n"/>
      <c r="J62" s="43" t="n"/>
      <c r="K62" s="43" t="n"/>
      <c r="L62" s="43" t="n"/>
      <c r="M62" s="23">
        <f>IF(C62="","",IF(N62="","Ready","Not ready"))</f>
        <v/>
      </c>
      <c r="N62" s="8">
        <f>IF(C62="","",IF(C62="Agent acts",IF(E62="","No undo path",IF(D62&lt;&gt;"Yes","Undo not tested","")),IF(C62="Preview and consent",IF(F62&lt;&gt;"Yes","Preview doesn’t show the full change",IF(G62&lt;&gt;"Yes","Preview doesn’t say what can’t be undone",IF(H62="","No named person gives consent",IF(I62&lt;&gt;"Yes","Consent is a standing default, not per change",IF(J62&lt;&gt;"Yes","Agent doesn’t act as the consenting person",IF(AND(K62&lt;&gt;"Changes nothing",K62&lt;&gt;"Revises and asks again"),"No safe outcome when consent is refused","")))))),IF(C62="Not allowed",IF(L62&lt;&gt;"Yes","Access not removed",""),""))))</f>
        <v/>
      </c>
    </row>
    <row r="63" ht="30" customHeight="1">
      <c r="A63" s="20" t="n">
        <v>14</v>
      </c>
      <c r="B63" s="8">
        <f>IF(B21="","",B21)</f>
        <v/>
      </c>
      <c r="C63" s="23">
        <f>IF(I21="","",I21)</f>
        <v/>
      </c>
      <c r="D63" s="23">
        <f>IF(F21="","",F21)</f>
        <v/>
      </c>
      <c r="E63" s="42" t="n"/>
      <c r="F63" s="43" t="n"/>
      <c r="G63" s="43" t="n"/>
      <c r="H63" s="42" t="n"/>
      <c r="I63" s="43" t="n"/>
      <c r="J63" s="43" t="n"/>
      <c r="K63" s="43" t="n"/>
      <c r="L63" s="43" t="n"/>
      <c r="M63" s="23">
        <f>IF(C63="","",IF(N63="","Ready","Not ready"))</f>
        <v/>
      </c>
      <c r="N63" s="8">
        <f>IF(C63="","",IF(C63="Agent acts",IF(E63="","No undo path",IF(D63&lt;&gt;"Yes","Undo not tested","")),IF(C63="Preview and consent",IF(F63&lt;&gt;"Yes","Preview doesn’t show the full change",IF(G63&lt;&gt;"Yes","Preview doesn’t say what can’t be undone",IF(H63="","No named person gives consent",IF(I63&lt;&gt;"Yes","Consent is a standing default, not per change",IF(J63&lt;&gt;"Yes","Agent doesn’t act as the consenting person",IF(AND(K63&lt;&gt;"Changes nothing",K63&lt;&gt;"Revises and asks again"),"No safe outcome when consent is refused","")))))),IF(C63="Not allowed",IF(L63&lt;&gt;"Yes","Access not removed",""),""))))</f>
        <v/>
      </c>
    </row>
    <row r="64" ht="30" customHeight="1">
      <c r="A64" s="20" t="n">
        <v>15</v>
      </c>
      <c r="B64" s="8">
        <f>IF(B22="","",B22)</f>
        <v/>
      </c>
      <c r="C64" s="23">
        <f>IF(I22="","",I22)</f>
        <v/>
      </c>
      <c r="D64" s="23">
        <f>IF(F22="","",F22)</f>
        <v/>
      </c>
      <c r="E64" s="42" t="n"/>
      <c r="F64" s="43" t="n"/>
      <c r="G64" s="43" t="n"/>
      <c r="H64" s="42" t="n"/>
      <c r="I64" s="43" t="n"/>
      <c r="J64" s="43" t="n"/>
      <c r="K64" s="43" t="n"/>
      <c r="L64" s="43" t="n"/>
      <c r="M64" s="23">
        <f>IF(C64="","",IF(N64="","Ready","Not ready"))</f>
        <v/>
      </c>
      <c r="N64" s="8">
        <f>IF(C64="","",IF(C64="Agent acts",IF(E64="","No undo path",IF(D64&lt;&gt;"Yes","Undo not tested","")),IF(C64="Preview and consent",IF(F64&lt;&gt;"Yes","Preview doesn’t show the full change",IF(G64&lt;&gt;"Yes","Preview doesn’t say what can’t be undone",IF(H64="","No named person gives consent",IF(I64&lt;&gt;"Yes","Consent is a standing default, not per change",IF(J64&lt;&gt;"Yes","Agent doesn’t act as the consenting person",IF(AND(K64&lt;&gt;"Changes nothing",K64&lt;&gt;"Revises and asks again"),"No safe outcome when consent is refused","")))))),IF(C64="Not allowed",IF(L64&lt;&gt;"Yes","Access not removed",""),""))))</f>
        <v/>
      </c>
    </row>
    <row r="65" ht="30" customHeight="1">
      <c r="A65" s="20" t="n">
        <v>16</v>
      </c>
      <c r="B65" s="8">
        <f>IF(B23="","",B23)</f>
        <v/>
      </c>
      <c r="C65" s="23">
        <f>IF(I23="","",I23)</f>
        <v/>
      </c>
      <c r="D65" s="23">
        <f>IF(F23="","",F23)</f>
        <v/>
      </c>
      <c r="E65" s="42" t="n"/>
      <c r="F65" s="43" t="n"/>
      <c r="G65" s="43" t="n"/>
      <c r="H65" s="42" t="n"/>
      <c r="I65" s="43" t="n"/>
      <c r="J65" s="43" t="n"/>
      <c r="K65" s="43" t="n"/>
      <c r="L65" s="43" t="n"/>
      <c r="M65" s="23">
        <f>IF(C65="","",IF(N65="","Ready","Not ready"))</f>
        <v/>
      </c>
      <c r="N65" s="8">
        <f>IF(C65="","",IF(C65="Agent acts",IF(E65="","No undo path",IF(D65&lt;&gt;"Yes","Undo not tested","")),IF(C65="Preview and consent",IF(F65&lt;&gt;"Yes","Preview doesn’t show the full change",IF(G65&lt;&gt;"Yes","Preview doesn’t say what can’t be undone",IF(H65="","No named person gives consent",IF(I65&lt;&gt;"Yes","Consent is a standing default, not per change",IF(J65&lt;&gt;"Yes","Agent doesn’t act as the consenting person",IF(AND(K65&lt;&gt;"Changes nothing",K65&lt;&gt;"Revises and asks again"),"No safe outcome when consent is refused","")))))),IF(C65="Not allowed",IF(L65&lt;&gt;"Yes","Access not removed",""),""))))</f>
        <v/>
      </c>
    </row>
    <row r="66" ht="30" customHeight="1">
      <c r="A66" s="20" t="n">
        <v>17</v>
      </c>
      <c r="B66" s="8">
        <f>IF(B24="","",B24)</f>
        <v/>
      </c>
      <c r="C66" s="23">
        <f>IF(I24="","",I24)</f>
        <v/>
      </c>
      <c r="D66" s="23">
        <f>IF(F24="","",F24)</f>
        <v/>
      </c>
      <c r="E66" s="42" t="n"/>
      <c r="F66" s="43" t="n"/>
      <c r="G66" s="43" t="n"/>
      <c r="H66" s="42" t="n"/>
      <c r="I66" s="43" t="n"/>
      <c r="J66" s="43" t="n"/>
      <c r="K66" s="43" t="n"/>
      <c r="L66" s="43" t="n"/>
      <c r="M66" s="23">
        <f>IF(C66="","",IF(N66="","Ready","Not ready"))</f>
        <v/>
      </c>
      <c r="N66" s="8">
        <f>IF(C66="","",IF(C66="Agent acts",IF(E66="","No undo path",IF(D66&lt;&gt;"Yes","Undo not tested","")),IF(C66="Preview and consent",IF(F66&lt;&gt;"Yes","Preview doesn’t show the full change",IF(G66&lt;&gt;"Yes","Preview doesn’t say what can’t be undone",IF(H66="","No named person gives consent",IF(I66&lt;&gt;"Yes","Consent is a standing default, not per change",IF(J66&lt;&gt;"Yes","Agent doesn’t act as the consenting person",IF(AND(K66&lt;&gt;"Changes nothing",K66&lt;&gt;"Revises and asks again"),"No safe outcome when consent is refused","")))))),IF(C66="Not allowed",IF(L66&lt;&gt;"Yes","Access not removed",""),""))))</f>
        <v/>
      </c>
    </row>
    <row r="67" ht="30" customHeight="1">
      <c r="A67" s="20" t="n">
        <v>18</v>
      </c>
      <c r="B67" s="8">
        <f>IF(B25="","",B25)</f>
        <v/>
      </c>
      <c r="C67" s="23">
        <f>IF(I25="","",I25)</f>
        <v/>
      </c>
      <c r="D67" s="23">
        <f>IF(F25="","",F25)</f>
        <v/>
      </c>
      <c r="E67" s="42" t="n"/>
      <c r="F67" s="43" t="n"/>
      <c r="G67" s="43" t="n"/>
      <c r="H67" s="42" t="n"/>
      <c r="I67" s="43" t="n"/>
      <c r="J67" s="43" t="n"/>
      <c r="K67" s="43" t="n"/>
      <c r="L67" s="43" t="n"/>
      <c r="M67" s="23">
        <f>IF(C67="","",IF(N67="","Ready","Not ready"))</f>
        <v/>
      </c>
      <c r="N67" s="8">
        <f>IF(C67="","",IF(C67="Agent acts",IF(E67="","No undo path",IF(D67&lt;&gt;"Yes","Undo not tested","")),IF(C67="Preview and consent",IF(F67&lt;&gt;"Yes","Preview doesn’t show the full change",IF(G67&lt;&gt;"Yes","Preview doesn’t say what can’t be undone",IF(H67="","No named person gives consent",IF(I67&lt;&gt;"Yes","Consent is a standing default, not per change",IF(J67&lt;&gt;"Yes","Agent doesn’t act as the consenting person",IF(AND(K67&lt;&gt;"Changes nothing",K67&lt;&gt;"Revises and asks again"),"No safe outcome when consent is refused","")))))),IF(C67="Not allowed",IF(L67&lt;&gt;"Yes","Access not removed",""),""))))</f>
        <v/>
      </c>
    </row>
    <row r="68" ht="30" customHeight="1">
      <c r="A68" s="20" t="n">
        <v>19</v>
      </c>
      <c r="B68" s="8">
        <f>IF(B26="","",B26)</f>
        <v/>
      </c>
      <c r="C68" s="23">
        <f>IF(I26="","",I26)</f>
        <v/>
      </c>
      <c r="D68" s="23">
        <f>IF(F26="","",F26)</f>
        <v/>
      </c>
      <c r="E68" s="42" t="n"/>
      <c r="F68" s="43" t="n"/>
      <c r="G68" s="43" t="n"/>
      <c r="H68" s="42" t="n"/>
      <c r="I68" s="43" t="n"/>
      <c r="J68" s="43" t="n"/>
      <c r="K68" s="43" t="n"/>
      <c r="L68" s="43" t="n"/>
      <c r="M68" s="23">
        <f>IF(C68="","",IF(N68="","Ready","Not ready"))</f>
        <v/>
      </c>
      <c r="N68" s="8">
        <f>IF(C68="","",IF(C68="Agent acts",IF(E68="","No undo path",IF(D68&lt;&gt;"Yes","Undo not tested","")),IF(C68="Preview and consent",IF(F68&lt;&gt;"Yes","Preview doesn’t show the full change",IF(G68&lt;&gt;"Yes","Preview doesn’t say what can’t be undone",IF(H68="","No named person gives consent",IF(I68&lt;&gt;"Yes","Consent is a standing default, not per change",IF(J68&lt;&gt;"Yes","Agent doesn’t act as the consenting person",IF(AND(K68&lt;&gt;"Changes nothing",K68&lt;&gt;"Revises and asks again"),"No safe outcome when consent is refused","")))))),IF(C68="Not allowed",IF(L68&lt;&gt;"Yes","Access not removed",""),""))))</f>
        <v/>
      </c>
    </row>
    <row r="69" ht="30" customHeight="1">
      <c r="A69" s="20" t="n">
        <v>20</v>
      </c>
      <c r="B69" s="8">
        <f>IF(B27="","",B27)</f>
        <v/>
      </c>
      <c r="C69" s="23">
        <f>IF(I27="","",I27)</f>
        <v/>
      </c>
      <c r="D69" s="23">
        <f>IF(F27="","",F27)</f>
        <v/>
      </c>
      <c r="E69" s="42" t="n"/>
      <c r="F69" s="43" t="n"/>
      <c r="G69" s="43" t="n"/>
      <c r="H69" s="42" t="n"/>
      <c r="I69" s="43" t="n"/>
      <c r="J69" s="43" t="n"/>
      <c r="K69" s="43" t="n"/>
      <c r="L69" s="43" t="n"/>
      <c r="M69" s="23">
        <f>IF(C69="","",IF(N69="","Ready","Not ready"))</f>
        <v/>
      </c>
      <c r="N69" s="8">
        <f>IF(C69="","",IF(C69="Agent acts",IF(E69="","No undo path",IF(D69&lt;&gt;"Yes","Undo not tested","")),IF(C69="Preview and consent",IF(F69&lt;&gt;"Yes","Preview doesn’t show the full change",IF(G69&lt;&gt;"Yes","Preview doesn’t say what can’t be undone",IF(H69="","No named person gives consent",IF(I69&lt;&gt;"Yes","Consent is a standing default, not per change",IF(J69&lt;&gt;"Yes","Agent doesn’t act as the consenting person",IF(AND(K69&lt;&gt;"Changes nothing",K69&lt;&gt;"Revises and asks again"),"No safe outcome when consent is refused","")))))),IF(C69="Not allowed",IF(L69&lt;&gt;"Yes","Access not removed",""),""))))</f>
        <v/>
      </c>
    </row>
    <row r="71" ht="26" customHeight="1">
      <c r="A71" s="24" t="inlineStr">
        <is>
          <t>Summary</t>
        </is>
      </c>
    </row>
    <row r="72">
      <c r="A72" s="26" t="inlineStr">
        <is>
          <t>BY AUTHORITY</t>
        </is>
      </c>
      <c r="C72" s="27" t="inlineStr">
        <is>
          <t>Actions</t>
        </is>
      </c>
      <c r="D72" s="27" t="inlineStr">
        <is>
          <t>Ready</t>
        </is>
      </c>
    </row>
    <row r="73" ht="22" customHeight="1">
      <c r="B73" s="28" t="inlineStr">
        <is>
          <t>Agent acts</t>
        </is>
      </c>
      <c r="C73" s="29">
        <f>COUNTIF(C50:C69,"Agent acts")</f>
        <v/>
      </c>
      <c r="D73" s="29">
        <f>COUNTIFS(C50:C69,"Agent acts",M50:M69,"Ready")</f>
        <v/>
      </c>
    </row>
    <row r="74" ht="22" customHeight="1">
      <c r="B74" s="31" t="inlineStr">
        <is>
          <t>Preview and consent</t>
        </is>
      </c>
      <c r="C74" s="29">
        <f>COUNTIF(C50:C69,"Preview and consent")</f>
        <v/>
      </c>
      <c r="D74" s="29">
        <f>COUNTIFS(C50:C69,"Preview and consent",M50:M69,"Ready")</f>
        <v/>
      </c>
    </row>
    <row r="75" ht="22" customHeight="1">
      <c r="B75" s="32" t="inlineStr">
        <is>
          <t>Not allowed</t>
        </is>
      </c>
      <c r="C75" s="29">
        <f>COUNTIF(C50:C69,"Not allowed")</f>
        <v/>
      </c>
      <c r="D75" s="29">
        <f>COUNTIFS(C50:C69,"Not allowed",M50:M69,"Ready")</f>
        <v/>
      </c>
    </row>
    <row r="77" ht="24" customHeight="1">
      <c r="A77" s="13" t="inlineStr">
        <is>
          <t>Authority not ready</t>
        </is>
      </c>
      <c r="C77" s="25">
        <f>COUNTIF(M50:M69,"Not ready")</f>
        <v/>
      </c>
      <c r="D77" s="19" t="inlineStr">
        <is>
          <t>Column N names the first thing missing on each.</t>
        </is>
      </c>
    </row>
    <row r="78" ht="30" customHeight="1">
      <c r="A78" s="13" t="inlineStr">
        <is>
          <t>Previews that hide part of the change</t>
        </is>
      </c>
      <c r="C78" s="25">
        <f>SUMPRODUCT((C50:C69="Preview and consent")*(((F50:F69&lt;&gt;"Yes")+(G50:G69&lt;&gt;"Yes"))&gt;0))</f>
        <v/>
      </c>
      <c r="D78" s="19" t="inlineStr">
        <is>
          <t>The preview does not show the full change, or does not say what can’t be undone.</t>
        </is>
      </c>
    </row>
    <row r="79" ht="30" customHeight="1">
      <c r="A79" s="13" t="inlineStr">
        <is>
          <t>Consent that isn’t per change or has no named person</t>
        </is>
      </c>
      <c r="C79" s="25">
        <f>SUMPRODUCT((C50:C69="Preview and consent")*(((I50:I69&lt;&gt;"Yes")+(H50:H69=""))&gt;0))</f>
        <v/>
      </c>
    </row>
    <row r="80" ht="30" customHeight="1">
      <c r="A80" s="13" t="inlineStr">
        <is>
          <t>Agent not acting as the consenting person</t>
        </is>
      </c>
      <c r="C80" s="25">
        <f>SUMPRODUCT((C50:C69="Preview and consent")*(J50:J69&lt;&gt;"Yes"))</f>
        <v/>
      </c>
    </row>
    <row r="81" ht="24" customHeight="1">
      <c r="A81" s="13" t="inlineStr">
        <is>
          <t>No safe outcome on refusal</t>
        </is>
      </c>
      <c r="C81" s="25">
        <f>SUMPRODUCT((C50:C69="Preview and consent")*(K50:K69&lt;&gt;"Changes nothing")*(K50:K69&lt;&gt;"Revises and asks again"))</f>
        <v/>
      </c>
      <c r="D81" s="19" t="inlineStr">
        <is>
          <t>Proceeds anyway, Not decided, or left blank.</t>
        </is>
      </c>
    </row>
    <row r="82" ht="24" customHeight="1">
      <c r="A82" s="13" t="inlineStr">
        <is>
          <t>Not allowed, access still present</t>
        </is>
      </c>
      <c r="C82" s="25">
        <f>SUMPRODUCT((C50:C69="Not allowed")*(L50:L69&lt;&gt;"Yes"))</f>
        <v/>
      </c>
    </row>
    <row r="85" ht="28" customHeight="1">
      <c r="A85" s="18" t="inlineStr">
        <is>
          <t>3 · Checklist</t>
        </is>
      </c>
    </row>
    <row r="86" ht="20" customHeight="1">
      <c r="A86" s="3" t="inlineStr">
        <is>
          <t>Is the agent’s authority ready for real users?</t>
        </is>
      </c>
    </row>
    <row r="87" ht="30" customHeight="1">
      <c r="A87" s="19" t="inlineStr">
        <is>
          <t>Answer each check from evidence, not from memory. The four marked ★ are critical: a No on any one of them is a Hold.</t>
        </is>
      </c>
    </row>
    <row r="89" ht="34" customHeight="1">
      <c r="A89" s="36" t="inlineStr">
        <is>
          <t>Decision</t>
        </is>
      </c>
      <c r="C89" s="37">
        <f>IF(OR(E95="No",E97="No",E98="No",E99="No"),"Hold",IF(COUNTA(E95:E104)&lt;10,"",IF(AND(SUM(F95:F104)&gt;=16,NOT(OR(E95="Partial",E97="Partial",E98="Partial",E99="Partial"))),"Ready","Fix first")))</f>
        <v/>
      </c>
      <c r="D89" s="13">
        <f>IF(C89="Hold","Don’t let this agent act for real users yet.",IF(C89="Fix first","No critical check is answered No, but the total is under 16 or a critical check is only Partial.",IF(C89="Ready","Every critical check is answered Yes, and the total is 16 or more.",IF(COUNTA(E95:E104)=0,"","Answer all 10 checks to see the decision."))))</f>
        <v/>
      </c>
    </row>
    <row r="90" ht="24" customHeight="1">
      <c r="A90" s="13" t="inlineStr">
        <is>
          <t>Total</t>
        </is>
      </c>
      <c r="C90" s="25">
        <f>SUM(F95:F104)</f>
        <v/>
      </c>
      <c r="D90" s="19" t="inlineStr">
        <is>
          <t>out of 20. Yes scores 2, Partial 1, No 0. Ready needs 16 or more and every critical check answered Yes.</t>
        </is>
      </c>
    </row>
    <row r="91" ht="24" customHeight="1">
      <c r="A91" s="13" t="inlineStr">
        <is>
          <t>Checks answered</t>
        </is>
      </c>
      <c r="C91" s="25">
        <f>COUNTA(E95:E104)</f>
        <v/>
      </c>
      <c r="D91" s="19" t="inlineStr">
        <is>
          <t>out of 10</t>
        </is>
      </c>
    </row>
    <row r="92" ht="40" customHeight="1">
      <c r="A92" s="36" t="inlineStr">
        <is>
          <t>Your next step</t>
        </is>
      </c>
      <c r="C92" s="8">
        <f>IF(MIN(Y95:Y104)&lt;9,INDEX(B95:B104,MATCH(MIN(Y95:Y104),Y95:Y104,0)),IF(COUNTA(E95:E104)=10,"No open items.",""))</f>
        <v/>
      </c>
    </row>
    <row r="94" ht="32" customHeight="1">
      <c r="A94" s="6" t="inlineStr">
        <is>
          <t>#</t>
        </is>
      </c>
      <c r="B94" s="6" t="inlineStr">
        <is>
          <t>Check</t>
        </is>
      </c>
      <c r="E94" s="6" t="inlineStr">
        <is>
          <t>Answer</t>
        </is>
      </c>
      <c r="F94" s="6" t="inlineStr">
        <is>
          <t>Points</t>
        </is>
      </c>
      <c r="G94" s="6" t="inlineStr">
        <is>
          <t>Status</t>
        </is>
      </c>
      <c r="H94" s="6" t="inlineStr">
        <is>
          <t>Evidence from the other tabs</t>
        </is>
      </c>
    </row>
    <row r="95" ht="36" customHeight="1">
      <c r="A95" s="23" t="inlineStr">
        <is>
          <t>1 ★</t>
        </is>
      </c>
      <c r="B95" s="8" t="inlineStr">
        <is>
          <t>Every action the agent can take is listed, including saving and restoring versions, sending, publishing and external calls.</t>
        </is>
      </c>
      <c r="C95" s="38" t="n"/>
      <c r="D95" s="38" t="n"/>
      <c r="E95" s="43" t="inlineStr">
        <is>
          <t>Yes</t>
        </is>
      </c>
      <c r="F95" s="23">
        <f>IF(E95="Yes",2,IF(E95="Partial",1,IF(E95="No",0,"")))</f>
        <v/>
      </c>
      <c r="G95" s="23">
        <f>IF(E95="Yes","Pass",IF(E95="Partial","Partial",IF(E95="No","Fail","")))</f>
        <v/>
      </c>
      <c r="H95" s="39">
        <f>"Actions listed (section 1): "&amp;C30&amp;" · "&amp;"Actions with no authority (section 1): "&amp;C37</f>
        <v/>
      </c>
      <c r="Y95" s="16">
        <f>IF(E95="No",1,IF(E95="Partial",3,9))</f>
        <v/>
      </c>
    </row>
    <row r="96" ht="36" customHeight="1">
      <c r="A96" s="20" t="n">
        <v>2</v>
      </c>
      <c r="B96" s="8" t="inlineStr">
        <is>
          <t>Each action’s undo was tested, not assumed.</t>
        </is>
      </c>
      <c r="C96" s="38" t="n"/>
      <c r="D96" s="38" t="n"/>
      <c r="E96" s="43" t="inlineStr">
        <is>
          <t>Partial</t>
        </is>
      </c>
      <c r="F96" s="23">
        <f>IF(E96="Yes",2,IF(E96="Partial",1,IF(E96="No",0,"")))</f>
        <v/>
      </c>
      <c r="G96" s="23">
        <f>IF(E96="Yes","Pass",IF(E96="Partial","Partial",IF(E96="No","Fail","")))</f>
        <v/>
      </c>
      <c r="H96" s="39">
        <f>"Undo not tested (section 1): "&amp;C38</f>
        <v/>
      </c>
      <c r="Y96" s="16">
        <f>IF(E96="No",2,IF(E96="Partial",4,9))</f>
        <v/>
      </c>
    </row>
    <row r="97" ht="36" customHeight="1">
      <c r="A97" s="23" t="inlineStr">
        <is>
          <t>3 ★</t>
        </is>
      </c>
      <c r="B97" s="8" t="inlineStr">
        <is>
          <t>Every action that can’t be fully undone, or whose result others see, requires preview and consent.</t>
        </is>
      </c>
      <c r="C97" s="38" t="n"/>
      <c r="D97" s="38" t="n"/>
      <c r="E97" s="43" t="inlineStr">
        <is>
          <t>No</t>
        </is>
      </c>
      <c r="F97" s="23">
        <f>IF(E97="Yes",2,IF(E97="Partial",1,IF(E97="No",0,"")))</f>
        <v/>
      </c>
      <c r="G97" s="23">
        <f>IF(E97="Yes","Pass",IF(E97="Partial","Partial",IF(E97="No","Fail","")))</f>
        <v/>
      </c>
      <c r="H97" s="39">
        <f>"Consent removed by override (section 1): "&amp;C41</f>
        <v/>
      </c>
      <c r="Y97" s="16">
        <f>IF(E97="No",1,IF(E97="Partial",3,9))</f>
        <v/>
      </c>
    </row>
    <row r="98" ht="36" customHeight="1">
      <c r="A98" s="23" t="inlineStr">
        <is>
          <t>4 ★</t>
        </is>
      </c>
      <c r="B98" s="8" t="inlineStr">
        <is>
          <t>Every preview shows the full change and says what can’t be undone.</t>
        </is>
      </c>
      <c r="C98" s="38" t="n"/>
      <c r="D98" s="38" t="n"/>
      <c r="E98" s="43" t="inlineStr">
        <is>
          <t>No</t>
        </is>
      </c>
      <c r="F98" s="23">
        <f>IF(E98="Yes",2,IF(E98="Partial",1,IF(E98="No",0,"")))</f>
        <v/>
      </c>
      <c r="G98" s="23">
        <f>IF(E98="Yes","Pass",IF(E98="Partial","Partial",IF(E98="No","Fail","")))</f>
        <v/>
      </c>
      <c r="H98" s="39">
        <f>"Previews that hide part of the change (section 2): "&amp;C78</f>
        <v/>
      </c>
      <c r="Y98" s="16">
        <f>IF(E98="No",1,IF(E98="Partial",3,9))</f>
        <v/>
      </c>
    </row>
    <row r="99" ht="36" customHeight="1">
      <c r="A99" s="23" t="inlineStr">
        <is>
          <t>5 ★</t>
        </is>
      </c>
      <c r="B99" s="8" t="inlineStr">
        <is>
          <t>Consent is given per change by a named person, not by a standing default.</t>
        </is>
      </c>
      <c r="C99" s="38" t="n"/>
      <c r="D99" s="38" t="n"/>
      <c r="E99" s="43" t="inlineStr">
        <is>
          <t>Partial</t>
        </is>
      </c>
      <c r="F99" s="23">
        <f>IF(E99="Yes",2,IF(E99="Partial",1,IF(E99="No",0,"")))</f>
        <v/>
      </c>
      <c r="G99" s="23">
        <f>IF(E99="Yes","Pass",IF(E99="Partial","Partial",IF(E99="No","Fail","")))</f>
        <v/>
      </c>
      <c r="H99" s="39">
        <f>"Consent that isn’t per change or has no named person (section 2): "&amp;C79</f>
        <v/>
      </c>
      <c r="Y99" s="16">
        <f>IF(E99="No",1,IF(E99="Partial",3,9))</f>
        <v/>
      </c>
    </row>
    <row r="100" ht="36" customHeight="1">
      <c r="A100" s="20" t="n">
        <v>6</v>
      </c>
      <c r="B100" s="8" t="inlineStr">
        <is>
          <t>The agent acts as the person who consented, and the log records who approved each change.</t>
        </is>
      </c>
      <c r="C100" s="38" t="n"/>
      <c r="D100" s="38" t="n"/>
      <c r="E100" s="43" t="inlineStr">
        <is>
          <t>Partial</t>
        </is>
      </c>
      <c r="F100" s="23">
        <f>IF(E100="Yes",2,IF(E100="Partial",1,IF(E100="No",0,"")))</f>
        <v/>
      </c>
      <c r="G100" s="23">
        <f>IF(E100="Yes","Pass",IF(E100="Partial","Partial",IF(E100="No","Fail","")))</f>
        <v/>
      </c>
      <c r="H100" s="39">
        <f>"Agent not acting as the consenting person (section 2): "&amp;C80</f>
        <v/>
      </c>
      <c r="Y100" s="16">
        <f>IF(E100="No",2,IF(E100="Partial",4,9))</f>
        <v/>
      </c>
    </row>
    <row r="101" ht="36" customHeight="1">
      <c r="A101" s="20" t="n">
        <v>7</v>
      </c>
      <c r="B101" s="8" t="inlineStr">
        <is>
          <t>If consent is refused, the agent changes nothing, or revises and asks again.</t>
        </is>
      </c>
      <c r="C101" s="38" t="n"/>
      <c r="D101" s="38" t="n"/>
      <c r="E101" s="43" t="inlineStr">
        <is>
          <t>Partial</t>
        </is>
      </c>
      <c r="F101" s="23">
        <f>IF(E101="Yes",2,IF(E101="Partial",1,IF(E101="No",0,"")))</f>
        <v/>
      </c>
      <c r="G101" s="23">
        <f>IF(E101="Yes","Pass",IF(E101="Partial","Partial",IF(E101="No","Fail","")))</f>
        <v/>
      </c>
      <c r="H101" s="39">
        <f>"No safe outcome on refusal (section 2): "&amp;C81</f>
        <v/>
      </c>
      <c r="Y101" s="16">
        <f>IF(E101="No",2,IF(E101="Partial",4,9))</f>
        <v/>
      </c>
    </row>
    <row r="102" ht="36" customHeight="1">
      <c r="A102" s="20" t="n">
        <v>8</v>
      </c>
      <c r="B102" s="8" t="inlineStr">
        <is>
          <t>Every override of the suggested authority has a written reason.</t>
        </is>
      </c>
      <c r="C102" s="38" t="n"/>
      <c r="D102" s="38" t="n"/>
      <c r="E102" s="43" t="inlineStr">
        <is>
          <t>No</t>
        </is>
      </c>
      <c r="F102" s="23">
        <f>IF(E102="Yes",2,IF(E102="Partial",1,IF(E102="No",0,"")))</f>
        <v/>
      </c>
      <c r="G102" s="23">
        <f>IF(E102="Yes","Pass",IF(E102="Partial","Partial",IF(E102="No","Fail","")))</f>
        <v/>
      </c>
      <c r="H102" s="39">
        <f>"Overrides with no reason (section 1): "&amp;C40</f>
        <v/>
      </c>
      <c r="Y102" s="16">
        <f>IF(E102="No",2,IF(E102="Partial",4,9))</f>
        <v/>
      </c>
    </row>
    <row r="103" ht="36" customHeight="1">
      <c r="A103" s="20" t="n">
        <v>9</v>
      </c>
      <c r="B103" s="8" t="inlineStr">
        <is>
          <t>The agent’s access is no wider than the actions it needs; access for Not allowed actions has been removed.</t>
        </is>
      </c>
      <c r="C103" s="38" t="n"/>
      <c r="D103" s="38" t="n"/>
      <c r="E103" s="43" t="inlineStr">
        <is>
          <t>Partial</t>
        </is>
      </c>
      <c r="F103" s="23">
        <f>IF(E103="Yes",2,IF(E103="Partial",1,IF(E103="No",0,"")))</f>
        <v/>
      </c>
      <c r="G103" s="23">
        <f>IF(E103="Yes","Pass",IF(E103="Partial","Partial",IF(E103="No","Fail","")))</f>
        <v/>
      </c>
      <c r="H103" s="39">
        <f>"Not allowed, access still present (section 2): "&amp;C82</f>
        <v/>
      </c>
      <c r="Y103" s="16">
        <f>IF(E103="No",2,IF(E103="Partial",4,9))</f>
        <v/>
      </c>
    </row>
    <row r="104" ht="26" customHeight="1">
      <c r="A104" s="20" t="n">
        <v>10</v>
      </c>
      <c r="B104" s="8" t="inlineStr">
        <is>
          <t>A named owner re-runs this review whenever the agent gains a new action or tool.</t>
        </is>
      </c>
      <c r="C104" s="38" t="n"/>
      <c r="D104" s="38" t="n"/>
      <c r="E104" s="43" t="inlineStr">
        <is>
          <t>Yes</t>
        </is>
      </c>
      <c r="F104" s="23">
        <f>IF(E104="Yes",2,IF(E104="Partial",1,IF(E104="No",0,"")))</f>
        <v/>
      </c>
      <c r="G104" s="23">
        <f>IF(E104="Yes","Pass",IF(E104="Partial","Partial",IF(E104="No","Fail","")))</f>
        <v/>
      </c>
      <c r="H104" s="38" t="n"/>
      <c r="Y104" s="16">
        <f>IF(E104="No",2,IF(E104="Partial",4,9))</f>
        <v/>
      </c>
    </row>
  </sheetData>
  <sheetProtection selectLockedCells="0" selectUnlockedCells="0" sheet="1" objects="0" insertRows="1" insertHyperlinks="1" autoFilter="1" scenarios="0" formatColumns="0" deleteColumns="1" insertColumns="1" pivotTables="1" deleteRows="1" formatCells="1" formatRows="0" sort="1"/>
  <mergeCells count="47">
    <mergeCell ref="A92:B92"/>
    <mergeCell ref="A30:B30"/>
    <mergeCell ref="B98:D98"/>
    <mergeCell ref="A82:B82"/>
    <mergeCell ref="B101:D101"/>
    <mergeCell ref="D90:H90"/>
    <mergeCell ref="D78:J78"/>
    <mergeCell ref="A45:N45"/>
    <mergeCell ref="A79:B79"/>
    <mergeCell ref="A1:K1"/>
    <mergeCell ref="B103:D103"/>
    <mergeCell ref="D40:K40"/>
    <mergeCell ref="A78:B78"/>
    <mergeCell ref="A87:H87"/>
    <mergeCell ref="A41:B41"/>
    <mergeCell ref="B99:D99"/>
    <mergeCell ref="A90:B90"/>
    <mergeCell ref="A37:B37"/>
    <mergeCell ref="A89:B89"/>
    <mergeCell ref="A80:B80"/>
    <mergeCell ref="D41:K41"/>
    <mergeCell ref="A46:N46"/>
    <mergeCell ref="F48:K48"/>
    <mergeCell ref="D81:J81"/>
    <mergeCell ref="B95:D95"/>
    <mergeCell ref="B104:D104"/>
    <mergeCell ref="D91:H91"/>
    <mergeCell ref="A86:H86"/>
    <mergeCell ref="B94:D94"/>
    <mergeCell ref="D77:J77"/>
    <mergeCell ref="B97:D97"/>
    <mergeCell ref="B100:D100"/>
    <mergeCell ref="D37:K37"/>
    <mergeCell ref="C92:H92"/>
    <mergeCell ref="A5:K5"/>
    <mergeCell ref="A91:B91"/>
    <mergeCell ref="A38:B38"/>
    <mergeCell ref="A4:K4"/>
    <mergeCell ref="D39:K39"/>
    <mergeCell ref="A81:B81"/>
    <mergeCell ref="B102:D102"/>
    <mergeCell ref="D89:H89"/>
    <mergeCell ref="D38:K38"/>
    <mergeCell ref="B96:D96"/>
    <mergeCell ref="A39:B39"/>
    <mergeCell ref="A40:B40"/>
    <mergeCell ref="A77:B77"/>
  </mergeCells>
  <conditionalFormatting sqref="G8:G27">
    <cfRule type="expression" priority="1" dxfId="0">
      <formula>G8="Agent acts"</formula>
    </cfRule>
    <cfRule type="expression" priority="2" dxfId="1">
      <formula>G8="Preview and consent"</formula>
    </cfRule>
    <cfRule type="expression" priority="3" dxfId="2">
      <formula>G8="Not allowed"</formula>
    </cfRule>
  </conditionalFormatting>
  <conditionalFormatting sqref="H8:H27">
    <cfRule type="expression" priority="4" dxfId="0">
      <formula>H8="Agent acts"</formula>
    </cfRule>
    <cfRule type="expression" priority="5" dxfId="1">
      <formula>H8="Preview and consent"</formula>
    </cfRule>
    <cfRule type="expression" priority="6" dxfId="2">
      <formula>H8="Not allowed"</formula>
    </cfRule>
  </conditionalFormatting>
  <conditionalFormatting sqref="I8:I27">
    <cfRule type="expression" priority="7" dxfId="0">
      <formula>I8="Agent acts"</formula>
    </cfRule>
    <cfRule type="expression" priority="8" dxfId="1">
      <formula>I8="Preview and consent"</formula>
    </cfRule>
    <cfRule type="expression" priority="9" dxfId="2">
      <formula>I8="Not allowed"</formula>
    </cfRule>
  </conditionalFormatting>
  <conditionalFormatting sqref="C37">
    <cfRule type="expression" priority="10" dxfId="3">
      <formula>C37&gt;0</formula>
    </cfRule>
  </conditionalFormatting>
  <conditionalFormatting sqref="C40">
    <cfRule type="expression" priority="11" dxfId="3">
      <formula>C40&gt;0</formula>
    </cfRule>
  </conditionalFormatting>
  <conditionalFormatting sqref="C41">
    <cfRule type="expression" priority="12" dxfId="3">
      <formula>C41&gt;0</formula>
    </cfRule>
  </conditionalFormatting>
  <conditionalFormatting sqref="E50:E69">
    <cfRule type="expression" priority="13" dxfId="4">
      <formula>$C50&lt;&gt;"Agent acts"</formula>
    </cfRule>
  </conditionalFormatting>
  <conditionalFormatting sqref="F50:K69">
    <cfRule type="expression" priority="14" dxfId="4">
      <formula>$C50&lt;&gt;"Preview and consent"</formula>
    </cfRule>
  </conditionalFormatting>
  <conditionalFormatting sqref="L50:L69">
    <cfRule type="expression" priority="15" dxfId="4">
      <formula>$C50&lt;&gt;"Not allowed"</formula>
    </cfRule>
  </conditionalFormatting>
  <conditionalFormatting sqref="C50:C69">
    <cfRule type="expression" priority="16" dxfId="0">
      <formula>C50="Agent acts"</formula>
    </cfRule>
    <cfRule type="expression" priority="17" dxfId="1">
      <formula>C50="Preview and consent"</formula>
    </cfRule>
    <cfRule type="expression" priority="18" dxfId="2">
      <formula>C50="Not allowed"</formula>
    </cfRule>
  </conditionalFormatting>
  <conditionalFormatting sqref="M50:M69">
    <cfRule type="expression" priority="19" dxfId="5">
      <formula>M50="Ready"</formula>
    </cfRule>
    <cfRule type="expression" priority="20" dxfId="6">
      <formula>M50="Not ready"</formula>
    </cfRule>
  </conditionalFormatting>
  <conditionalFormatting sqref="C77">
    <cfRule type="expression" priority="21" dxfId="3">
      <formula>C77&gt;0</formula>
    </cfRule>
  </conditionalFormatting>
  <conditionalFormatting sqref="G95:G104">
    <cfRule type="expression" priority="22" dxfId="5">
      <formula>G95="Pass"</formula>
    </cfRule>
    <cfRule type="expression" priority="23" dxfId="1">
      <formula>G95="Partial"</formula>
    </cfRule>
    <cfRule type="expression" priority="24" dxfId="6">
      <formula>G95="Fail"</formula>
    </cfRule>
  </conditionalFormatting>
  <conditionalFormatting sqref="C89">
    <cfRule type="expression" priority="25" dxfId="7">
      <formula>C89="Ready"</formula>
    </cfRule>
    <cfRule type="expression" priority="26" dxfId="8">
      <formula>C89="Fix first"</formula>
    </cfRule>
    <cfRule type="expression" priority="27" dxfId="3">
      <formula>C89="Hold"</formula>
    </cfRule>
  </conditionalFormatting>
  <dataValidations count="8">
    <dataValidation sqref="D8 D9 D10 D11 D12 D13 D14 D15 D16 D17 D18 D19 D20 D21 D22 D23 D24 D25 D26 D27" showDropDown="0" showInputMessage="0" showErrorMessage="0" allowBlank="1" errorTitle="Not an option" error="Pick one of the options in the list." type="list">
      <formula1>$Z$1:$Z$3</formula1>
    </dataValidation>
    <dataValidation sqref="E8 E9 E10 E11 E12 E13 E14 E15 E16 E17 E18 E19 E20 E21 E22 E23 E24 E25 E26 E27" showDropDown="0" showInputMessage="0" showErrorMessage="0" allowBlank="1" errorTitle="Not an option" error="Pick one of the options in the list." type="list">
      <formula1>$Z$5:$Z$8</formula1>
    </dataValidation>
    <dataValidation sqref="F8 F9 F10 F11 F12 F13 F14 F15 F16 F17 F18 F19 F20 F21 F22 F23 F24 F25 F26 F27 G50 G51 G52 G53 G54 G55 G56 G57 G58 G59 G60 G61 G62 G63 G64 G65 G66 G67 G68 G69 I50 I51 I52 I53 I54 I55 I56 I57 I58 I59 I60 I61 I62 I63 I64 I65 I66 I67 I68 I69 J50 J51 J52 J53 J54 J55 J56 J57 J58 J59 J60 J61 J62 J63 J64 J65 J66 J67 J68 J69 L50 L51 L52 L53 L54 L55 L56 L57 L58 L59 L60 L61 L62 L63 L64 L65 L66 L67 L68 L69" showDropDown="0" showInputMessage="0" showErrorMessage="0" allowBlank="1" errorTitle="Not an option" error="Pick one of the options in the list." type="list">
      <formula1>$Z$10:$Z$11</formula1>
    </dataValidation>
    <dataValidation sqref="H8 H9 H10 H11 H12 H13 H14 H15 H16 H17 H18 H19 H20 H21 H22 H23 H24 H25 H26 H27" showDropDown="0" showInputMessage="0" showErrorMessage="0" allowBlank="1" errorTitle="Not an option" error="Pick one of the options in the list." type="list">
      <formula1>$Z$13:$Z$15</formula1>
    </dataValidation>
    <dataValidation sqref="E95 E96 E97 E98 E99 E100 E101 E102 E103 E104 F50 F51 F52 F53 F54 F55 F56 F57 F58 F59 F60 F61 F62 F63 F64 F65 F66 F67 F68 F69" showDropDown="0" showInputMessage="0" showErrorMessage="0" allowBlank="1" errorTitle="Not an option" error="Pick one of the options in the list." type="list">
      <formula1>$Z$17:$Z$19</formula1>
    </dataValidation>
    <dataValidation sqref="K50 K51 K52 K53 K54 K55 K56 K57 K58 K59 K60 K61 K62 K63 K64 K65 K66 K67 K68 K69" showDropDown="0" showInputMessage="0" showErrorMessage="0" allowBlank="1" errorTitle="Not an option" error="Pick one of the options in the list." type="list">
      <formula1>$Z$21:$Z$24</formula1>
    </dataValidation>
    <dataValidation sqref="E50 E51 E52 E53 E54 E55 E56 E57 E58 E59 E60 E61 E62 E63 E64 E65 E66 E67 E68 E69" showDropDown="0" showInputMessage="0" showErrorMessage="0" allowBlank="1" errorTitle="Not this authority" error="This column is for Agent acts actions. Change the authority on the Action Inventory first." type="custom">
      <formula1>$C50="Agent acts"</formula1>
    </dataValidation>
    <dataValidation sqref="H50 H51 H52 H53 H54 H55 H56 H57 H58 H59 H60 H61 H62 H63 H64 H65 H66 H67 H68 H69" showDropDown="0" showInputMessage="0" showErrorMessage="0" allowBlank="1" errorTitle="Not this authority" error="This column is for Preview and consent actions. Change the authority on the Action Inventory first." type="custom">
      <formula1>$C50="Preview and consent"</formula1>
    </dataValidation>
  </dataValidations>
  <printOptions horizontalCentered="1"/>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Sunil Mathew, co-authored with Claude</dc:creator>
  <dc:title>Change Authority Review</dc:title>
  <dc:subject>Your agent’s access says what it can do. Decide who gives it the authority to act.</dc:subject>
  <dcterms:created xsi:type="dcterms:W3CDTF">2026-10-17T01:37:04Z</dcterms:created>
  <dcterms:modified xsi:type="dcterms:W3CDTF">2026-10-17T01:37:04Z</dcterms:modified>
</cp:coreProperties>
</file>