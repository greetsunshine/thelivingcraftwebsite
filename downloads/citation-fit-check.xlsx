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 Condition Map" sheetId="2" state="visible" r:id="rId2"/>
    <sheet name="2 · Spot Check" sheetId="3" state="visible" r:id="rId3"/>
    <sheet name="3 · Checklist" sheetId="4" state="visible" r:id="rId4"/>
    <sheet name="4 · Test Cases" sheetId="5" state="visible" r:id="rId5"/>
    <sheet name="Worked Example"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Source Serif 4"/>
      <color rgb="FF172E26"/>
      <sz val="18"/>
    </font>
    <font>
      <name val="Figtree"/>
      <color rgb="FF526259"/>
      <sz val="12"/>
    </font>
    <font>
      <name val="Figtree"/>
      <color rgb="FF526259"/>
      <sz val="9"/>
    </font>
    <font>
      <name val="Figtree"/>
      <color rgb="FF172E26"/>
      <sz val="11"/>
    </font>
    <font>
      <name val="Figtree"/>
      <b val="1"/>
      <color rgb="FF172E26"/>
      <sz val="16"/>
    </font>
    <font>
      <name val="Figtree"/>
      <b val="1"/>
      <color rgb="FFF5F0E6"/>
      <sz val="10"/>
    </font>
    <font>
      <name val="Figtree"/>
      <b val="1"/>
      <color rgb="FF172E26"/>
      <sz val="11"/>
    </font>
    <font>
      <name val="Figtree"/>
      <b val="1"/>
      <color rgb="FF765523"/>
      <sz val="9"/>
    </font>
    <font>
      <name val="Figtree"/>
      <i val="1"/>
      <color rgb="FF526259"/>
      <sz val="10"/>
    </font>
    <font>
      <name val="Figtree"/>
      <b val="1"/>
      <color rgb="FF183D32"/>
      <sz val="10"/>
    </font>
    <font>
      <name val="Figtree"/>
      <b val="1"/>
      <color rgb="FF765523"/>
      <sz val="11"/>
    </font>
    <font>
      <name val="Source Serif 4"/>
      <color rgb="FF172E26"/>
      <sz val="26"/>
    </font>
  </fonts>
  <fills count="5">
    <fill>
      <patternFill/>
    </fill>
    <fill>
      <patternFill patternType="gray125"/>
    </fill>
    <fill>
      <patternFill patternType="solid">
        <fgColor rgb="FF183D32"/>
      </patternFill>
    </fill>
    <fill>
      <patternFill patternType="solid">
        <fgColor rgb="FFF4E9CE"/>
      </patternFill>
    </fill>
    <fill>
      <patternFill patternType="solid">
        <fgColor rgb="FFFBF8F2"/>
      </patternFill>
    </fill>
  </fills>
  <borders count="4">
    <border>
      <left/>
      <right/>
      <top/>
      <bottom/>
      <diagonal/>
    </border>
    <border>
      <bottom style="thin">
        <color rgb="FFCBD1C8"/>
      </bottom>
    </border>
    <border>
      <left style="thin">
        <color rgb="FF765523"/>
      </left>
      <right style="thin">
        <color rgb="FF765523"/>
      </right>
      <top style="thin">
        <color rgb="FF765523"/>
      </top>
      <bottom style="thin">
        <color rgb="FF765523"/>
      </bottom>
    </border>
    <border>
      <bottom style="medium">
        <color rgb="FFB58A46"/>
      </bottom>
    </border>
  </borders>
  <cellStyleXfs count="1">
    <xf numFmtId="0" fontId="0" fillId="0" borderId="0"/>
  </cellStyleXfs>
  <cellXfs count="32">
    <xf numFmtId="0" fontId="0" fillId="0" borderId="0" pivotButton="0" quotePrefix="0" xfId="0"/>
    <xf numFmtId="0" fontId="12" fillId="0" borderId="3" applyAlignment="1" pivotButton="0" quotePrefix="0" xfId="0">
      <alignment horizontal="left" vertical="center"/>
    </xf>
    <xf numFmtId="0" fontId="0" fillId="0" borderId="3" pivotButton="0" quotePrefix="0" xfId="0"/>
    <xf numFmtId="0" fontId="2" fillId="0" borderId="0" applyAlignment="1" pivotButton="0" quotePrefix="0" xfId="0">
      <alignment horizontal="left" vertical="center" wrapText="1"/>
    </xf>
    <xf numFmtId="0" fontId="8" fillId="0" borderId="0" applyAlignment="1" pivotButton="0" quotePrefix="0" xfId="0">
      <alignment horizontal="left" vertical="top"/>
    </xf>
    <xf numFmtId="0" fontId="4" fillId="0" borderId="0" applyAlignment="1" pivotButton="0" quotePrefix="0" xfId="0">
      <alignment horizontal="left" vertical="top" wrapText="1"/>
    </xf>
    <xf numFmtId="0" fontId="7" fillId="0" borderId="0" applyAlignment="1" pivotButton="0" quotePrefix="0" xfId="0">
      <alignment horizontal="left" vertical="center"/>
    </xf>
    <xf numFmtId="0" fontId="4" fillId="0" borderId="0" applyAlignment="1" pivotButton="0" quotePrefix="0" xfId="0">
      <alignment horizontal="left" vertical="center" wrapText="1"/>
    </xf>
    <xf numFmtId="0" fontId="4" fillId="0" borderId="0" applyAlignment="1" pivotButton="0" quotePrefix="0" xfId="0">
      <alignment horizontal="left" vertical="center"/>
    </xf>
    <xf numFmtId="0" fontId="4" fillId="3" borderId="2" applyAlignment="1" applyProtection="1" pivotButton="0" quotePrefix="0" xfId="0">
      <alignment horizontal="left" vertical="center"/>
      <protection locked="0" hidden="0"/>
    </xf>
    <xf numFmtId="0" fontId="3" fillId="0" borderId="0" applyAlignment="1" pivotButton="0" quotePrefix="0" xfId="0">
      <alignment horizontal="left" vertical="center"/>
    </xf>
    <xf numFmtId="0" fontId="1" fillId="0" borderId="0" applyAlignment="1" pivotButton="0" quotePrefix="0" xfId="0">
      <alignment horizontal="left" vertical="center"/>
    </xf>
    <xf numFmtId="0" fontId="3" fillId="0" borderId="0" applyAlignment="1" pivotButton="0" quotePrefix="0" xfId="0">
      <alignment horizontal="left" vertical="center" wrapText="1"/>
    </xf>
    <xf numFmtId="0" fontId="5" fillId="0" borderId="1" applyAlignment="1" pivotButton="0" quotePrefix="0" xfId="0">
      <alignment horizontal="left" vertical="center"/>
    </xf>
    <xf numFmtId="0" fontId="6" fillId="2" borderId="0" applyAlignment="1" pivotButton="0" quotePrefix="0" xfId="0">
      <alignment horizontal="left" vertical="bottom" wrapText="1"/>
    </xf>
    <xf numFmtId="0" fontId="3" fillId="0" borderId="1" applyAlignment="1" pivotButton="0" quotePrefix="0" xfId="0">
      <alignment horizontal="center" vertical="center"/>
    </xf>
    <xf numFmtId="0" fontId="4" fillId="3" borderId="2" applyAlignment="1" applyProtection="1" pivotButton="0" quotePrefix="0" xfId="0">
      <alignment horizontal="left" vertical="center" wrapText="1" indent="1"/>
      <protection locked="0" hidden="0"/>
    </xf>
    <xf numFmtId="164" fontId="5" fillId="0" borderId="1" applyAlignment="1" pivotButton="0" quotePrefix="0" xfId="0">
      <alignment horizontal="left" vertical="center"/>
    </xf>
    <xf numFmtId="0" fontId="4" fillId="3" borderId="2" applyAlignment="1" applyProtection="1" pivotButton="0" quotePrefix="0" xfId="0">
      <alignment horizontal="center" vertical="center"/>
      <protection locked="0" hidden="0"/>
    </xf>
    <xf numFmtId="0" fontId="7" fillId="0" borderId="0" applyAlignment="1" pivotButton="0" quotePrefix="0" xfId="0">
      <alignment horizontal="left" vertical="center" wrapText="1"/>
    </xf>
    <xf numFmtId="0" fontId="5" fillId="0" borderId="0" applyAlignment="1" pivotButton="0" quotePrefix="0" xfId="0">
      <alignment horizontal="center" vertical="center"/>
    </xf>
    <xf numFmtId="0" fontId="4" fillId="0" borderId="1" applyAlignment="1" pivotButton="0" quotePrefix="0" xfId="0">
      <alignment horizontal="left" vertical="center" wrapText="1"/>
    </xf>
    <xf numFmtId="0" fontId="10" fillId="4" borderId="0" applyAlignment="1" pivotButton="0" quotePrefix="0" xfId="0">
      <alignment horizontal="left" vertical="center"/>
    </xf>
    <xf numFmtId="0" fontId="0" fillId="4" borderId="0" pivotButton="0" quotePrefix="0" xfId="0"/>
    <xf numFmtId="0" fontId="0" fillId="0" borderId="1" pivotButton="0" quotePrefix="0" xfId="0"/>
    <xf numFmtId="0" fontId="7" fillId="0" borderId="1" applyAlignment="1" pivotButton="0" quotePrefix="0" xfId="0">
      <alignment horizontal="center" vertical="center"/>
    </xf>
    <xf numFmtId="0" fontId="3" fillId="0" borderId="1" applyAlignment="1" pivotButton="0" quotePrefix="0" xfId="0">
      <alignment horizontal="left" vertical="center" wrapText="1"/>
    </xf>
    <xf numFmtId="0" fontId="8" fillId="0" borderId="0" applyAlignment="1" pivotButton="0" quotePrefix="0" xfId="0">
      <alignment horizontal="left" vertical="center"/>
    </xf>
    <xf numFmtId="0" fontId="9" fillId="0" borderId="1" applyAlignment="1" pivotButton="0" quotePrefix="0" xfId="0">
      <alignment horizontal="center" vertical="center"/>
    </xf>
    <xf numFmtId="0" fontId="9" fillId="0" borderId="1" applyAlignment="1" pivotButton="0" quotePrefix="0" xfId="0">
      <alignment horizontal="left" vertical="center" wrapText="1"/>
    </xf>
    <xf numFmtId="0" fontId="11" fillId="3" borderId="0" applyAlignment="1" pivotButton="0" quotePrefix="0" xfId="0">
      <alignment horizontal="left" vertical="center" wrapText="1"/>
    </xf>
    <xf numFmtId="0" fontId="0" fillId="3" borderId="0" pivotButton="0" quotePrefix="0" xfId="0"/>
  </cellXfs>
  <cellStyles count="1">
    <cellStyle name="Normal" xfId="0" builtinId="0" hidden="0"/>
  </cellStyles>
  <dxfs count="6">
    <dxf>
      <font>
        <name val="Figtree"/>
        <b val="1"/>
        <color rgb="FF963D34"/>
      </font>
      <fill>
        <patternFill patternType="solid">
          <fgColor rgb="FFF7E8E3"/>
        </patternFill>
      </fill>
    </dxf>
    <dxf>
      <font>
        <name val="Figtree"/>
        <b val="1"/>
        <color rgb="FF215C42"/>
      </font>
      <fill>
        <patternFill patternType="solid">
          <fgColor rgb="FFE6EFE5"/>
        </patternFill>
      </fill>
    </dxf>
    <dxf>
      <font>
        <name val="Figtree"/>
        <b val="1"/>
        <color rgb="FF765523"/>
      </font>
      <fill>
        <patternFill patternType="solid">
          <fgColor rgb="FFF4E9CE"/>
        </patternFill>
      </fill>
    </dxf>
    <dxf>
      <font>
        <name val="Figtree"/>
        <b val="1"/>
        <color rgb="FF215C42"/>
        <sz val="16"/>
      </font>
      <fill>
        <patternFill patternType="solid">
          <fgColor rgb="FFE6EFE5"/>
        </patternFill>
      </fill>
    </dxf>
    <dxf>
      <font>
        <name val="Figtree"/>
        <b val="1"/>
        <color rgb="FF765523"/>
        <sz val="16"/>
      </font>
      <fill>
        <patternFill patternType="solid">
          <fgColor rgb="FFF4E9CE"/>
        </patternFill>
      </fill>
    </dxf>
    <dxf>
      <font>
        <name val="Figtree"/>
        <b val="1"/>
        <color rgb="FF963D34"/>
        <sz val="16"/>
      </font>
      <fill>
        <patternFill patternType="solid">
          <fgColor rgb="FFF7E8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14550" cy="4191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ing.thelivingcraft.ai/#apply"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tabColor rgb="00183D32"/>
    <outlinePr summaryBelow="1" summaryRight="1"/>
    <pageSetUpPr fitToPage="1"/>
  </sheetPr>
  <dimension ref="B4:D29"/>
  <sheetViews>
    <sheetView showGridLines="0" workbookViewId="0">
      <selection activeCell="A1" sqref="A1"/>
    </sheetView>
  </sheetViews>
  <sheetFormatPr baseColWidth="8" defaultRowHeight="15"/>
  <cols>
    <col width="3" customWidth="1" min="1" max="1"/>
    <col width="24" customWidth="1" min="2" max="2"/>
    <col width="62" customWidth="1" min="3" max="3"/>
    <col width="34" customWidth="1" min="4" max="4"/>
  </cols>
  <sheetData>
    <row r="2" ht="36" customHeight="1"/>
    <row r="4" ht="40" customHeight="1">
      <c r="B4" s="1" t="inlineStr">
        <is>
          <t>Citation Fit Check</t>
        </is>
      </c>
      <c r="C4" s="2" t="n"/>
      <c r="D4" s="2" t="n"/>
    </row>
    <row r="5" ht="36" customHeight="1">
      <c r="B5" s="3" t="inlineStr">
        <is>
          <t>A real citation can support the wrong answer. Check that the rule applies to the person asking.</t>
        </is>
      </c>
    </row>
    <row r="7" ht="51" customHeight="1">
      <c r="B7" s="4" t="inlineStr">
        <is>
          <t>WHAT TO BRING</t>
        </is>
      </c>
      <c r="C7" s="5" t="inlineStr">
        <is>
          <t>One type of question your RAG assistant answers; the source documents it retrieves from; 10 real or sample questions of that type, each with the facts about the asker that decide the answer; and the retrieved passages and answers for those questions, from traces or by running them.</t>
        </is>
      </c>
    </row>
    <row r="9" ht="36" customHeight="1">
      <c r="B9" s="4" t="inlineStr">
        <is>
          <t>WHAT TO DO</t>
        </is>
      </c>
      <c r="C9" s="5" t="inlineStr">
        <is>
          <t>Map the conditions that gate each rule, spot-check whether retrieval returns those conditions, score the twelve checks, and write test cases where the cited text is true but doesn’t apply.</t>
        </is>
      </c>
    </row>
    <row r="11" ht="51" customHeight="1">
      <c r="B11" s="4" t="inlineStr">
        <is>
          <t>WHAT YOU LEAVE WITH</t>
        </is>
      </c>
      <c r="C11" s="5" t="inlineStr">
        <is>
          <t>A condition map for that answer type, a Pass / Partial / Fail result on twelve checks with a decision (Ready, Fix first or Hold), and a starter set of applicability test cases for your evals.</t>
        </is>
      </c>
    </row>
    <row r="13" ht="22" customHeight="1">
      <c r="B13" s="4" t="inlineStr">
        <is>
          <t>HOW TO USE IT</t>
        </is>
      </c>
      <c r="C13" s="5" t="inlineStr">
        <is>
          <t>Work left to right through tabs 1–4. The Worked Example tab shows a completed version.</t>
        </is>
      </c>
    </row>
    <row r="15">
      <c r="B15" s="4" t="inlineStr">
        <is>
          <t>THE FOUR TABS</t>
        </is>
      </c>
    </row>
    <row r="16" ht="22" customHeight="1">
      <c r="B16" s="6" t="inlineStr">
        <is>
          <t>1 · Condition Map</t>
        </is>
      </c>
      <c r="C16" s="7" t="inlineStr">
        <is>
          <t>Which conditions gate each rule, and where do they live?</t>
        </is>
      </c>
    </row>
    <row r="17" ht="22" customHeight="1">
      <c r="B17" s="6" t="inlineStr">
        <is>
          <t>2 · Spot Check</t>
        </is>
      </c>
      <c r="C17" s="7" t="inlineStr">
        <is>
          <t>Does retrieval bring back the conditions with the rule?</t>
        </is>
      </c>
    </row>
    <row r="18" ht="22" customHeight="1">
      <c r="B18" s="6" t="inlineStr">
        <is>
          <t>3 · Checklist</t>
        </is>
      </c>
      <c r="C18" s="7" t="inlineStr">
        <is>
          <t>Does the system check the asker’s facts before answering?</t>
        </is>
      </c>
    </row>
    <row r="19" ht="22" customHeight="1">
      <c r="B19" s="6" t="inlineStr">
        <is>
          <t>4 · Test Cases</t>
        </is>
      </c>
      <c r="C19" s="7" t="inlineStr">
        <is>
          <t>Would your evals catch a true citation that doesn’t apply?</t>
        </is>
      </c>
    </row>
    <row r="21">
      <c r="B21" s="4" t="inlineStr">
        <is>
          <t>CELL LEGEND</t>
        </is>
      </c>
      <c r="C21" s="8" t="inlineStr">
        <is>
          <t>Shaded cells are yours to fill. Everything else calculates.</t>
        </is>
      </c>
    </row>
    <row r="22" ht="22" customHeight="1">
      <c r="C22" s="9" t="inlineStr">
        <is>
          <t>Yours to fill</t>
        </is>
      </c>
      <c r="D22" s="10" t="inlineStr">
        <is>
          <t>Shaded, with a thin border.</t>
        </is>
      </c>
    </row>
    <row r="23" ht="22" customHeight="1">
      <c r="C23" s="6" t="inlineStr">
        <is>
          <t>Calculates for you</t>
        </is>
      </c>
      <c r="D23" s="10" t="inlineStr">
        <is>
          <t>No fill, and locked.</t>
        </is>
      </c>
    </row>
    <row r="25">
      <c r="B25" s="10" t="inlineStr">
        <is>
          <t>© The Living Craft · thelivingcraft.ai · Content CC BY 4.0</t>
        </is>
      </c>
    </row>
    <row r="26">
      <c r="B26" s="10" t="inlineStr">
        <is>
          <t>Built by Sunil Mathew, co-authored with Claude</t>
        </is>
      </c>
    </row>
    <row r="28" ht="36" customHeight="1">
      <c r="B28" s="4" t="inlineStr">
        <is>
          <t>THE LIVING CRAFT COHORT</t>
        </is>
      </c>
      <c r="C28" s="5" t="inlineStr">
        <is>
          <t>Build a working agentic system and develop the reasoning behind it. Explore The Living Craft’s October 2026 cohort: 30 live hours with Sunil Mathew, plus independent work.</t>
        </is>
      </c>
    </row>
    <row r="29">
      <c r="C29" s="6" t="inlineStr">
        <is>
          <t>Apply at https://learning.thelivingcraft.ai/#apply</t>
        </is>
      </c>
    </row>
  </sheetData>
  <sheetProtection selectLockedCells="0" selectUnlockedCells="0" sheet="1" objects="0" insertRows="1" insertHyperlinks="1" autoFilter="1" scenarios="0" formatColumns="0" deleteColumns="1" insertColumns="1" pivotTables="1" deleteRows="1" formatCells="1" formatRows="0" sort="1"/>
  <mergeCells count="13">
    <mergeCell ref="B5:D5"/>
    <mergeCell ref="C29:D29"/>
    <mergeCell ref="C7:D7"/>
    <mergeCell ref="C16:D16"/>
    <mergeCell ref="C11:D11"/>
    <mergeCell ref="B25:D25"/>
    <mergeCell ref="C19:D19"/>
    <mergeCell ref="B26:D26"/>
    <mergeCell ref="C28:D28"/>
    <mergeCell ref="C13:D13"/>
    <mergeCell ref="C9:D9"/>
    <mergeCell ref="C17:D17"/>
    <mergeCell ref="C18:D18"/>
  </mergeCells>
  <hyperlinks>
    <hyperlink xmlns:r="http://schemas.openxmlformats.org/officeDocument/2006/relationships" ref="C29" r:id="rId1"/>
  </hyperlinks>
  <printOptions horizontalCentered="1"/>
  <pageMargins left="0.75" right="0.75" top="1" bottom="1" header="0.5" footer="0.5"/>
  <pageSetup orientation="landscape" paperSize="9" fitToHeight="0" fitToWidth="1"/>
  <drawing xmlns:r="http://schemas.openxmlformats.org/officeDocument/2006/relationships" r:id="rId2"/>
</worksheet>
</file>

<file path=xl/worksheets/sheet2.xml><?xml version="1.0" encoding="utf-8"?>
<worksheet xmlns="http://schemas.openxmlformats.org/spreadsheetml/2006/main">
  <sheetPr>
    <tabColor rgb="00183D32"/>
    <outlinePr summaryBelow="1" summaryRight="1"/>
    <pageSetUpPr fitToPage="1"/>
  </sheetPr>
  <dimension ref="A1:Z24"/>
  <sheetViews>
    <sheetView workbookViewId="0">
      <pane ySplit="9" topLeftCell="A10" activePane="bottomLeft" state="frozen"/>
      <selection pane="bottomLeft" activeCell="A1" sqref="A1"/>
    </sheetView>
  </sheetViews>
  <sheetFormatPr baseColWidth="8" defaultRowHeight="15"/>
  <cols>
    <col width="6" customWidth="1" min="1" max="1"/>
    <col width="38" customWidth="1" min="2" max="2"/>
    <col width="26" customWidth="1" min="3" max="3"/>
    <col width="24" customWidth="1" min="4" max="4"/>
    <col width="24" customWidth="1" min="5" max="5"/>
    <col width="28" customWidth="1" min="6" max="6"/>
    <col width="26" customWidth="1" min="7" max="7"/>
    <col width="26" customWidth="1" min="8" max="8"/>
    <col hidden="1" width="13" customWidth="1" min="25" max="25"/>
    <col hidden="1" width="13" customWidth="1" min="26" max="26"/>
  </cols>
  <sheetData>
    <row r="1" ht="28" customHeight="1">
      <c r="A1" s="11" t="inlineStr">
        <is>
          <t>1 · Condition Map</t>
        </is>
      </c>
      <c r="Z1" s="8" t="inlineStr">
        <is>
          <t>Tenure</t>
        </is>
      </c>
    </row>
    <row r="2" ht="20" customHeight="1">
      <c r="A2" s="3" t="inlineStr">
        <is>
          <t>Which conditions gate each rule, and where do they live?</t>
        </is>
      </c>
      <c r="Z2" s="8" t="inlineStr">
        <is>
          <t>Location</t>
        </is>
      </c>
    </row>
    <row r="3" ht="28" customHeight="1">
      <c r="A3" s="12" t="inlineStr">
        <is>
          <t>One row per rule. Write the condition that narrows it, where that condition is stored, and which fact about the asker decides it.</t>
        </is>
      </c>
      <c r="Z3" s="8" t="inlineStr">
        <is>
          <t>Role or grade</t>
        </is>
      </c>
    </row>
    <row r="4">
      <c r="Z4" s="8" t="inlineStr">
        <is>
          <t>Plan or tier</t>
        </is>
      </c>
    </row>
    <row r="5" ht="24" customHeight="1">
      <c r="A5" s="7" t="inlineStr">
        <is>
          <t>Rules mapped</t>
        </is>
      </c>
      <c r="C5" s="13">
        <f>COUNTA(B10:B24)</f>
        <v/>
      </c>
      <c r="Z5" s="8" t="inlineStr">
        <is>
          <t>Date or version</t>
        </is>
      </c>
    </row>
    <row r="6" ht="24" customHeight="1">
      <c r="A6" s="7" t="inlineStr">
        <is>
          <t>Conditions stored away from their rule</t>
        </is>
      </c>
      <c r="C6" s="13">
        <f>COUNTA(F10:F24)-COUNTIF(F10:F24,"Same passage")</f>
        <v/>
      </c>
      <c r="D6" s="12" t="inlineStr">
        <is>
          <t>Anything not in the rule's own passage. Retrieval can return the rule without it.</t>
        </is>
      </c>
      <c r="Z6" s="8" t="inlineStr">
        <is>
          <t>Other</t>
        </is>
      </c>
    </row>
    <row r="7" ht="24" customHeight="1">
      <c r="A7" s="7" t="inlineStr">
        <is>
          <t>Conditions the assistant can't check</t>
        </is>
      </c>
      <c r="C7" s="13">
        <f>COUNTIF(H10:H24,"Not available")</f>
        <v/>
      </c>
      <c r="D7" s="12" t="inlineStr">
        <is>
          <t>The assistant has no way to learn this fact about the asker, so it cannot apply the condition.</t>
        </is>
      </c>
    </row>
    <row r="8">
      <c r="Z8" s="8" t="inlineStr">
        <is>
          <t>Same passage</t>
        </is>
      </c>
    </row>
    <row r="9" ht="32" customHeight="1">
      <c r="A9" s="14" t="inlineStr">
        <is>
          <t>#</t>
        </is>
      </c>
      <c r="B9" s="14" t="inlineStr">
        <is>
          <t>Rule</t>
        </is>
      </c>
      <c r="C9" s="14" t="inlineStr">
        <is>
          <t>Source and section</t>
        </is>
      </c>
      <c r="D9" s="14" t="inlineStr">
        <is>
          <t>Condition</t>
        </is>
      </c>
      <c r="E9" s="14" t="inlineStr">
        <is>
          <t>Condition type</t>
        </is>
      </c>
      <c r="F9" s="14" t="inlineStr">
        <is>
          <t>Where the condition lives</t>
        </is>
      </c>
      <c r="G9" s="14" t="inlineStr">
        <is>
          <t>Asker fact needed</t>
        </is>
      </c>
      <c r="H9" s="14" t="inlineStr">
        <is>
          <t>Where the assistant gets that fact</t>
        </is>
      </c>
      <c r="Z9" s="8" t="inlineStr">
        <is>
          <t>Same document, other section</t>
        </is>
      </c>
    </row>
    <row r="10" ht="30" customHeight="1">
      <c r="A10" s="15" t="n">
        <v>1</v>
      </c>
      <c r="B10" s="16" t="n"/>
      <c r="C10" s="16" t="n"/>
      <c r="D10" s="16" t="n"/>
      <c r="E10" s="16" t="n"/>
      <c r="F10" s="16" t="n"/>
      <c r="G10" s="16" t="n"/>
      <c r="H10" s="16" t="n"/>
      <c r="Z10" s="8" t="inlineStr">
        <is>
          <t>Other document</t>
        </is>
      </c>
    </row>
    <row r="11" ht="30" customHeight="1">
      <c r="A11" s="15" t="n">
        <v>2</v>
      </c>
      <c r="B11" s="16" t="n"/>
      <c r="C11" s="16" t="n"/>
      <c r="D11" s="16" t="n"/>
      <c r="E11" s="16" t="n"/>
      <c r="F11" s="16" t="n"/>
      <c r="G11" s="16" t="n"/>
      <c r="H11" s="16" t="n"/>
      <c r="Z11" s="8" t="inlineStr">
        <is>
          <t>System of record only</t>
        </is>
      </c>
    </row>
    <row r="12" ht="30" customHeight="1">
      <c r="A12" s="15" t="n">
        <v>3</v>
      </c>
      <c r="B12" s="16" t="n"/>
      <c r="C12" s="16" t="n"/>
      <c r="D12" s="16" t="n"/>
      <c r="E12" s="16" t="n"/>
      <c r="F12" s="16" t="n"/>
      <c r="G12" s="16" t="n"/>
      <c r="H12" s="16" t="n"/>
    </row>
    <row r="13" ht="30" customHeight="1">
      <c r="A13" s="15" t="n">
        <v>4</v>
      </c>
      <c r="B13" s="16" t="n"/>
      <c r="C13" s="16" t="n"/>
      <c r="D13" s="16" t="n"/>
      <c r="E13" s="16" t="n"/>
      <c r="F13" s="16" t="n"/>
      <c r="G13" s="16" t="n"/>
      <c r="H13" s="16" t="n"/>
      <c r="Z13" s="8" t="inlineStr">
        <is>
          <t>Asks the user</t>
        </is>
      </c>
    </row>
    <row r="14" ht="30" customHeight="1">
      <c r="A14" s="15" t="n">
        <v>5</v>
      </c>
      <c r="B14" s="16" t="n"/>
      <c r="C14" s="16" t="n"/>
      <c r="D14" s="16" t="n"/>
      <c r="E14" s="16" t="n"/>
      <c r="F14" s="16" t="n"/>
      <c r="G14" s="16" t="n"/>
      <c r="H14" s="16" t="n"/>
      <c r="Z14" s="8" t="inlineStr">
        <is>
          <t>User profile or HR system</t>
        </is>
      </c>
    </row>
    <row r="15" ht="30" customHeight="1">
      <c r="A15" s="15" t="n">
        <v>6</v>
      </c>
      <c r="B15" s="16" t="n"/>
      <c r="C15" s="16" t="n"/>
      <c r="D15" s="16" t="n"/>
      <c r="E15" s="16" t="n"/>
      <c r="F15" s="16" t="n"/>
      <c r="G15" s="16" t="n"/>
      <c r="H15" s="16" t="n"/>
      <c r="Z15" s="8" t="inlineStr">
        <is>
          <t>Not available</t>
        </is>
      </c>
    </row>
    <row r="16" ht="30" customHeight="1">
      <c r="A16" s="15" t="n">
        <v>7</v>
      </c>
      <c r="B16" s="16" t="n"/>
      <c r="C16" s="16" t="n"/>
      <c r="D16" s="16" t="n"/>
      <c r="E16" s="16" t="n"/>
      <c r="F16" s="16" t="n"/>
      <c r="G16" s="16" t="n"/>
      <c r="H16" s="16" t="n"/>
    </row>
    <row r="17" ht="30" customHeight="1">
      <c r="A17" s="15" t="n">
        <v>8</v>
      </c>
      <c r="B17" s="16" t="n"/>
      <c r="C17" s="16" t="n"/>
      <c r="D17" s="16" t="n"/>
      <c r="E17" s="16" t="n"/>
      <c r="F17" s="16" t="n"/>
      <c r="G17" s="16" t="n"/>
      <c r="H17" s="16" t="n"/>
    </row>
    <row r="18" ht="30" customHeight="1">
      <c r="A18" s="15" t="n">
        <v>9</v>
      </c>
      <c r="B18" s="16" t="n"/>
      <c r="C18" s="16" t="n"/>
      <c r="D18" s="16" t="n"/>
      <c r="E18" s="16" t="n"/>
      <c r="F18" s="16" t="n"/>
      <c r="G18" s="16" t="n"/>
      <c r="H18" s="16" t="n"/>
    </row>
    <row r="19" ht="30" customHeight="1">
      <c r="A19" s="15" t="n">
        <v>10</v>
      </c>
      <c r="B19" s="16" t="n"/>
      <c r="C19" s="16" t="n"/>
      <c r="D19" s="16" t="n"/>
      <c r="E19" s="16" t="n"/>
      <c r="F19" s="16" t="n"/>
      <c r="G19" s="16" t="n"/>
      <c r="H19" s="16" t="n"/>
    </row>
    <row r="20" ht="30" customHeight="1">
      <c r="A20" s="15" t="n">
        <v>11</v>
      </c>
      <c r="B20" s="16" t="n"/>
      <c r="C20" s="16" t="n"/>
      <c r="D20" s="16" t="n"/>
      <c r="E20" s="16" t="n"/>
      <c r="F20" s="16" t="n"/>
      <c r="G20" s="16" t="n"/>
      <c r="H20" s="16" t="n"/>
    </row>
    <row r="21" ht="30" customHeight="1">
      <c r="A21" s="15" t="n">
        <v>12</v>
      </c>
      <c r="B21" s="16" t="n"/>
      <c r="C21" s="16" t="n"/>
      <c r="D21" s="16" t="n"/>
      <c r="E21" s="16" t="n"/>
      <c r="F21" s="16" t="n"/>
      <c r="G21" s="16" t="n"/>
      <c r="H21" s="16" t="n"/>
    </row>
    <row r="22" ht="30" customHeight="1">
      <c r="A22" s="15" t="n">
        <v>13</v>
      </c>
      <c r="B22" s="16" t="n"/>
      <c r="C22" s="16" t="n"/>
      <c r="D22" s="16" t="n"/>
      <c r="E22" s="16" t="n"/>
      <c r="F22" s="16" t="n"/>
      <c r="G22" s="16" t="n"/>
      <c r="H22" s="16" t="n"/>
    </row>
    <row r="23" ht="30" customHeight="1">
      <c r="A23" s="15" t="n">
        <v>14</v>
      </c>
      <c r="B23" s="16" t="n"/>
      <c r="C23" s="16" t="n"/>
      <c r="D23" s="16" t="n"/>
      <c r="E23" s="16" t="n"/>
      <c r="F23" s="16" t="n"/>
      <c r="G23" s="16" t="n"/>
      <c r="H23" s="16" t="n"/>
    </row>
    <row r="24" ht="30" customHeight="1">
      <c r="A24" s="15" t="n">
        <v>15</v>
      </c>
      <c r="B24" s="16" t="n"/>
      <c r="C24" s="16" t="n"/>
      <c r="D24" s="16" t="n"/>
      <c r="E24" s="16" t="n"/>
      <c r="F24" s="16" t="n"/>
      <c r="G24" s="16" t="n"/>
      <c r="H24" s="16" t="n"/>
    </row>
  </sheetData>
  <sheetProtection selectLockedCells="0" selectUnlockedCells="0" sheet="1" objects="0" insertRows="1" insertHyperlinks="1" autoFilter="1" scenarios="0" formatColumns="0" deleteColumns="1" insertColumns="1" pivotTables="1" deleteRows="1" formatCells="1" formatRows="0" sort="1"/>
  <mergeCells count="7">
    <mergeCell ref="A3:H3"/>
    <mergeCell ref="D7:H7"/>
    <mergeCell ref="D6:H6"/>
    <mergeCell ref="A7:B7"/>
    <mergeCell ref="A2:H2"/>
    <mergeCell ref="A5:B5"/>
    <mergeCell ref="A6:B6"/>
  </mergeCells>
  <conditionalFormatting sqref="C7">
    <cfRule type="expression" priority="1" dxfId="0">
      <formula>C7&gt;0</formula>
    </cfRule>
  </conditionalFormatting>
  <dataValidations count="3">
    <dataValidation sqref="E10 E11 E12 E13 E14 E15 E16 E17 E18 E19 E20 E21 E22 E23 E24" showDropDown="0" showInputMessage="0" showErrorMessage="1" allowBlank="1" errorTitle="Not an option" error="Pick one of the options in the list." type="list">
      <formula1>$Z$1:$Z$6</formula1>
    </dataValidation>
    <dataValidation sqref="F10 F11 F12 F13 F14 F15 F16 F17 F18 F19 F20 F21 F22 F23 F24" showDropDown="0" showInputMessage="0" showErrorMessage="1" allowBlank="1" errorTitle="Not an option" error="Pick one of the options in the list." type="list">
      <formula1>$Z$8:$Z$11</formula1>
    </dataValidation>
    <dataValidation sqref="H10 H11 H12 H13 H14 H15 H16 H17 H18 H19 H20 H21 H22 H23 H24" showDropDown="0" showInputMessage="0" showErrorMessage="1" allowBlank="1" errorTitle="Not an option" error="Pick one of the options in the list." type="list">
      <formula1>$Z$13:$Z$15</formula1>
    </dataValidation>
  </dataValidations>
  <printOptions horizontalCentered="1"/>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183D32"/>
    <outlinePr summaryBelow="1" summaryRight="1"/>
    <pageSetUpPr fitToPage="1"/>
  </sheetPr>
  <dimension ref="A1:Z19"/>
  <sheetViews>
    <sheetView workbookViewId="0">
      <pane ySplit="9" topLeftCell="A10" activePane="bottomLeft" state="frozen"/>
      <selection pane="bottomLeft" activeCell="A1" sqref="A1"/>
    </sheetView>
  </sheetViews>
  <sheetFormatPr baseColWidth="8" defaultRowHeight="15"/>
  <cols>
    <col width="6" customWidth="1" min="1" max="1"/>
    <col width="38" customWidth="1" min="2" max="2"/>
    <col width="26" customWidth="1" min="3" max="3"/>
    <col width="24" customWidth="1" min="4" max="4"/>
    <col width="24" customWidth="1" min="5" max="5"/>
    <col width="28" customWidth="1" min="6" max="6"/>
    <col width="26" customWidth="1" min="7" max="7"/>
    <col width="26" customWidth="1" min="8" max="8"/>
    <col hidden="1" width="13" customWidth="1" min="25" max="25"/>
    <col hidden="1" width="13" customWidth="1" min="26" max="26"/>
  </cols>
  <sheetData>
    <row r="1" ht="28" customHeight="1">
      <c r="A1" s="11" t="inlineStr">
        <is>
          <t>2 · Spot Check</t>
        </is>
      </c>
      <c r="Z1" s="8" t="inlineStr">
        <is>
          <t>Yes</t>
        </is>
      </c>
    </row>
    <row r="2" ht="20" customHeight="1">
      <c r="A2" s="3" t="inlineStr">
        <is>
          <t>Does retrieval bring back the conditions with the rule?</t>
        </is>
      </c>
      <c r="Z2" s="8" t="inlineStr">
        <is>
          <t>No</t>
        </is>
      </c>
    </row>
    <row r="3" ht="28" customHeight="1">
      <c r="A3" s="12" t="inlineStr">
        <is>
          <t>Ten questions of one type, each with the facts about the asker that decide it. Read the retrieved passages and the answer from a trace, or run the question.</t>
        </is>
      </c>
    </row>
    <row r="5" ht="24" customHeight="1">
      <c r="A5" s="7" t="inlineStr">
        <is>
          <t>Condition recall</t>
        </is>
      </c>
      <c r="C5" s="17">
        <f>IF(COUNTIF(D10:D19,"Yes")=0,"",COUNTIFS(D10:D19,"Yes",E10:E19,"Yes")/COUNTIF(D10:D19,"Yes"))</f>
        <v/>
      </c>
      <c r="D5" s="12" t="inlineStr">
        <is>
          <t>Of the questions where the rule came back, the share where its condition came back too.</t>
        </is>
      </c>
    </row>
    <row r="6" ht="24" customHeight="1">
      <c r="A6" s="7" t="inlineStr">
        <is>
          <t>Cited but wrong</t>
        </is>
      </c>
      <c r="C6" s="13">
        <f>COUNTIFS(G10:G19,"Yes",F10:F19,"No")</f>
        <v/>
      </c>
      <c r="D6" s="12" t="inlineStr">
        <is>
          <t>Answers a reader would trust and act on.</t>
        </is>
      </c>
    </row>
    <row r="7" ht="24" customHeight="1">
      <c r="A7" s="7" t="inlineStr">
        <is>
          <t>Answer accuracy for the asker</t>
        </is>
      </c>
      <c r="C7" s="17">
        <f>IF(COUNTA(F10:F19)=0,"",COUNTIF(F10:F19,"Yes")/COUNTA(F10:F19))</f>
        <v/>
      </c>
      <c r="D7" s="12" t="inlineStr">
        <is>
          <t>Correct for this asker, out of the rows where you recorded whether it was correct.</t>
        </is>
      </c>
    </row>
    <row r="9" ht="32" customHeight="1">
      <c r="A9" s="14" t="inlineStr">
        <is>
          <t>#</t>
        </is>
      </c>
      <c r="B9" s="14" t="inlineStr">
        <is>
          <t>Question</t>
        </is>
      </c>
      <c r="C9" s="14" t="inlineStr">
        <is>
          <t>Asker facts</t>
        </is>
      </c>
      <c r="D9" s="14" t="inlineStr">
        <is>
          <t>Rule retrieved?</t>
        </is>
      </c>
      <c r="E9" s="14" t="inlineStr">
        <is>
          <t>Condition retrieved?</t>
        </is>
      </c>
      <c r="F9" s="14" t="inlineStr">
        <is>
          <t>Answer correct for this asker?</t>
        </is>
      </c>
      <c r="G9" s="14" t="inlineStr">
        <is>
          <t>Answer cited a source?</t>
        </is>
      </c>
    </row>
    <row r="10" ht="30" customHeight="1">
      <c r="A10" s="15" t="n">
        <v>1</v>
      </c>
      <c r="B10" s="16" t="n"/>
      <c r="C10" s="16" t="n"/>
      <c r="D10" s="18" t="n"/>
      <c r="E10" s="18" t="n"/>
      <c r="F10" s="18" t="n"/>
      <c r="G10" s="18" t="n"/>
    </row>
    <row r="11" ht="30" customHeight="1">
      <c r="A11" s="15" t="n">
        <v>2</v>
      </c>
      <c r="B11" s="16" t="n"/>
      <c r="C11" s="16" t="n"/>
      <c r="D11" s="18" t="n"/>
      <c r="E11" s="18" t="n"/>
      <c r="F11" s="18" t="n"/>
      <c r="G11" s="18" t="n"/>
    </row>
    <row r="12" ht="30" customHeight="1">
      <c r="A12" s="15" t="n">
        <v>3</v>
      </c>
      <c r="B12" s="16" t="n"/>
      <c r="C12" s="16" t="n"/>
      <c r="D12" s="18" t="n"/>
      <c r="E12" s="18" t="n"/>
      <c r="F12" s="18" t="n"/>
      <c r="G12" s="18" t="n"/>
    </row>
    <row r="13" ht="30" customHeight="1">
      <c r="A13" s="15" t="n">
        <v>4</v>
      </c>
      <c r="B13" s="16" t="n"/>
      <c r="C13" s="16" t="n"/>
      <c r="D13" s="18" t="n"/>
      <c r="E13" s="18" t="n"/>
      <c r="F13" s="18" t="n"/>
      <c r="G13" s="18" t="n"/>
    </row>
    <row r="14" ht="30" customHeight="1">
      <c r="A14" s="15" t="n">
        <v>5</v>
      </c>
      <c r="B14" s="16" t="n"/>
      <c r="C14" s="16" t="n"/>
      <c r="D14" s="18" t="n"/>
      <c r="E14" s="18" t="n"/>
      <c r="F14" s="18" t="n"/>
      <c r="G14" s="18" t="n"/>
    </row>
    <row r="15" ht="30" customHeight="1">
      <c r="A15" s="15" t="n">
        <v>6</v>
      </c>
      <c r="B15" s="16" t="n"/>
      <c r="C15" s="16" t="n"/>
      <c r="D15" s="18" t="n"/>
      <c r="E15" s="18" t="n"/>
      <c r="F15" s="18" t="n"/>
      <c r="G15" s="18" t="n"/>
    </row>
    <row r="16" ht="30" customHeight="1">
      <c r="A16" s="15" t="n">
        <v>7</v>
      </c>
      <c r="B16" s="16" t="n"/>
      <c r="C16" s="16" t="n"/>
      <c r="D16" s="18" t="n"/>
      <c r="E16" s="18" t="n"/>
      <c r="F16" s="18" t="n"/>
      <c r="G16" s="18" t="n"/>
    </row>
    <row r="17" ht="30" customHeight="1">
      <c r="A17" s="15" t="n">
        <v>8</v>
      </c>
      <c r="B17" s="16" t="n"/>
      <c r="C17" s="16" t="n"/>
      <c r="D17" s="18" t="n"/>
      <c r="E17" s="18" t="n"/>
      <c r="F17" s="18" t="n"/>
      <c r="G17" s="18" t="n"/>
    </row>
    <row r="18" ht="30" customHeight="1">
      <c r="A18" s="15" t="n">
        <v>9</v>
      </c>
      <c r="B18" s="16" t="n"/>
      <c r="C18" s="16" t="n"/>
      <c r="D18" s="18" t="n"/>
      <c r="E18" s="18" t="n"/>
      <c r="F18" s="18" t="n"/>
      <c r="G18" s="18" t="n"/>
    </row>
    <row r="19" ht="30" customHeight="1">
      <c r="A19" s="15" t="n">
        <v>10</v>
      </c>
      <c r="B19" s="16" t="n"/>
      <c r="C19" s="16" t="n"/>
      <c r="D19" s="18" t="n"/>
      <c r="E19" s="18" t="n"/>
      <c r="F19" s="18" t="n"/>
      <c r="G19" s="18" t="n"/>
    </row>
  </sheetData>
  <sheetProtection selectLockedCells="0" selectUnlockedCells="0" sheet="1" objects="0" insertRows="1" insertHyperlinks="1" autoFilter="1" scenarios="0" formatColumns="0" deleteColumns="1" insertColumns="1" pivotTables="1" deleteRows="1" formatCells="1" formatRows="0" sort="1"/>
  <mergeCells count="8">
    <mergeCell ref="A3:H3"/>
    <mergeCell ref="D7:H7"/>
    <mergeCell ref="D6:H6"/>
    <mergeCell ref="A7:B7"/>
    <mergeCell ref="A2:H2"/>
    <mergeCell ref="A5:B5"/>
    <mergeCell ref="D5:H5"/>
    <mergeCell ref="A6:B6"/>
  </mergeCells>
  <conditionalFormatting sqref="C6:H6">
    <cfRule type="expression" priority="1" dxfId="0">
      <formula>$C$6&gt;0</formula>
    </cfRule>
  </conditionalFormatting>
  <dataValidations count="1">
    <dataValidation sqref="D10 D11 D12 D13 D14 D15 D16 D17 D18 D19 E10 E11 E12 E13 E14 E15 E16 E17 E18 E19 F10 F11 F12 F13 F14 F15 F16 F17 F18 F19 G10 G11 G12 G13 G14 G15 G16 G17 G18 G19" showDropDown="0" showInputMessage="0" showErrorMessage="1" allowBlank="1" errorTitle="Not an option" error="Pick one of the options in the list." type="list">
      <formula1>$Z$1:$Z$2</formula1>
    </dataValidation>
  </dataValidation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183D32"/>
    <outlinePr summaryBelow="1" summaryRight="1"/>
    <pageSetUpPr fitToPage="1"/>
  </sheetPr>
  <dimension ref="A1:Z26"/>
  <sheetViews>
    <sheetView showGridLines="0" workbookViewId="0">
      <pane ySplit="10" topLeftCell="A11" activePane="bottomLeft" state="frozen"/>
      <selection pane="bottomLeft" activeCell="A1" sqref="A1"/>
    </sheetView>
  </sheetViews>
  <sheetFormatPr baseColWidth="8" defaultRowHeight="15"/>
  <cols>
    <col width="6" customWidth="1" min="1" max="1"/>
    <col width="38" customWidth="1" min="2" max="2"/>
    <col width="26" customWidth="1" min="3" max="3"/>
    <col width="24" customWidth="1" min="4" max="4"/>
    <col width="24" customWidth="1" min="5" max="5"/>
    <col width="28" customWidth="1" min="6" max="6"/>
    <col width="26" customWidth="1" min="7" max="7"/>
    <col width="26" customWidth="1" min="8" max="8"/>
    <col hidden="1" width="13" customWidth="1" min="25" max="25"/>
    <col hidden="1" width="13" customWidth="1" min="26" max="26"/>
  </cols>
  <sheetData>
    <row r="1" ht="28" customHeight="1">
      <c r="A1" s="11" t="inlineStr">
        <is>
          <t>3 · Checklist</t>
        </is>
      </c>
      <c r="Z1" s="8" t="inlineStr">
        <is>
          <t>Yes</t>
        </is>
      </c>
    </row>
    <row r="2" ht="20" customHeight="1">
      <c r="A2" s="3" t="inlineStr">
        <is>
          <t>Does the system check the asker’s facts before answering?</t>
        </is>
      </c>
      <c r="Z2" s="8" t="inlineStr">
        <is>
          <t>Partial</t>
        </is>
      </c>
    </row>
    <row r="3" ht="28" customHeight="1">
      <c r="A3" s="12" t="inlineStr">
        <is>
          <t>Answer each check from evidence, not from memory. The four marked ★ are critical: a No on any one of them is a Hold.</t>
        </is>
      </c>
      <c r="Z3" s="8" t="inlineStr">
        <is>
          <t>No</t>
        </is>
      </c>
    </row>
    <row r="5" ht="34" customHeight="1">
      <c r="A5" s="19" t="inlineStr">
        <is>
          <t>Decision</t>
        </is>
      </c>
      <c r="C5" s="20">
        <f>IF(OR(E13="No",E16="No",E20="No",E25="No"),"Hold",IF(COUNTA(E11:E26)&lt;12,"",IF(SUM(F11:F26)&gt;=20,"Ready","Fix first")))</f>
        <v/>
      </c>
      <c r="D5" s="7">
        <f>IF(C5="Hold","Don’t trust these answers yet.",IF(C5="Fix first","No critical check fails, but the total is under 20. Fix the gaps before you rely on these answers.",IF(C5="Ready","No critical check is answered No, and the total is 20 or more.",IF(COUNTA(E11:E26)=0,"","Answer all 12 checks to see the decision."))))</f>
        <v/>
      </c>
    </row>
    <row r="6" ht="24" customHeight="1">
      <c r="A6" s="7" t="inlineStr">
        <is>
          <t>Total</t>
        </is>
      </c>
      <c r="C6" s="13">
        <f>SUM(F11:F26)</f>
        <v/>
      </c>
      <c r="D6" s="12" t="inlineStr">
        <is>
          <t>out of 24. Yes scores 2, Partial 1, No 0. Ready needs 20 or more and no critical No.</t>
        </is>
      </c>
    </row>
    <row r="7" ht="24" customHeight="1">
      <c r="A7" s="7" t="inlineStr">
        <is>
          <t>Checks answered</t>
        </is>
      </c>
      <c r="C7" s="13">
        <f>COUNTA(E11:E26)</f>
        <v/>
      </c>
      <c r="D7" s="12" t="inlineStr">
        <is>
          <t>out of 12</t>
        </is>
      </c>
    </row>
    <row r="8" ht="34" customHeight="1">
      <c r="A8" s="19" t="inlineStr">
        <is>
          <t>Your next step</t>
        </is>
      </c>
      <c r="C8" s="21">
        <f>IF(MIN(Y11:Y26)&gt;3,"",INDEX(B11:B26,MATCH(MIN(Y11:Y26),Y11:Y26,0)))</f>
        <v/>
      </c>
    </row>
    <row r="10" ht="32" customHeight="1">
      <c r="A10" s="14" t="inlineStr">
        <is>
          <t>#</t>
        </is>
      </c>
      <c r="B10" s="14" t="inlineStr">
        <is>
          <t>Check</t>
        </is>
      </c>
      <c r="E10" s="14" t="inlineStr">
        <is>
          <t>Answer</t>
        </is>
      </c>
      <c r="F10" s="14" t="inlineStr">
        <is>
          <t>Points</t>
        </is>
      </c>
      <c r="G10" s="14" t="inlineStr">
        <is>
          <t>Status</t>
        </is>
      </c>
      <c r="H10" s="14" t="inlineStr">
        <is>
          <t>Evidence from the other tabs</t>
        </is>
      </c>
    </row>
    <row r="11" ht="22" customHeight="1">
      <c r="A11" s="22" t="inlineStr">
        <is>
          <t>Source</t>
        </is>
      </c>
      <c r="B11" s="23" t="n"/>
      <c r="C11" s="23" t="n"/>
      <c r="D11" s="23" t="n"/>
      <c r="E11" s="23" t="n"/>
      <c r="F11" s="23" t="n"/>
      <c r="G11" s="23" t="n"/>
      <c r="H11" s="23" t="n"/>
    </row>
    <row r="12" ht="35" customHeight="1">
      <c r="A12" s="15" t="n">
        <v>1</v>
      </c>
      <c r="B12" s="21" t="inlineStr">
        <is>
          <t>The source documents are the current versions, and the assistant knows each one’s effective date.</t>
        </is>
      </c>
      <c r="C12" s="24" t="n"/>
      <c r="D12" s="24" t="n"/>
      <c r="E12" s="18" t="n"/>
      <c r="F12" s="25">
        <f>IF(E12="Yes",2,IF(E12="Partial",1,IF(E12="No",0,"")))</f>
        <v/>
      </c>
      <c r="G12" s="25">
        <f>IF(E12="Yes","Pass",IF(E12="Partial","Partial",IF(E12="No","Fail","")))</f>
        <v/>
      </c>
      <c r="H12" s="24" t="n"/>
      <c r="Y12" s="10">
        <f>IF(E12="No",2,IF(E12="Partial",3,9))</f>
        <v/>
      </c>
    </row>
    <row r="13" ht="36" customHeight="1">
      <c r="A13" s="25" t="inlineStr">
        <is>
          <t>2 ★</t>
        </is>
      </c>
      <c r="B13" s="21" t="inlineStr">
        <is>
          <t>Every rule this answer type relies on has its gating conditions identified (Tab 1).</t>
        </is>
      </c>
      <c r="C13" s="24" t="n"/>
      <c r="D13" s="24" t="n"/>
      <c r="E13" s="18" t="n"/>
      <c r="F13" s="25">
        <f>IF(E13="Yes",2,IF(E13="Partial",1,IF(E13="No",0,"")))</f>
        <v/>
      </c>
      <c r="G13" s="25">
        <f>IF(E13="Yes","Pass",IF(E13="Partial","Partial",IF(E13="No","Fail","")))</f>
        <v/>
      </c>
      <c r="H13" s="26">
        <f>"Rules mapped (Tab 1): "&amp;'1 · Condition Map'!C5</f>
        <v/>
      </c>
      <c r="Y13" s="10">
        <f>IF(E13="No",1,IF(E13="Partial",3,9))</f>
        <v/>
      </c>
    </row>
    <row r="14" ht="35" customHeight="1">
      <c r="A14" s="15" t="n">
        <v>3</v>
      </c>
      <c r="B14" s="21" t="inlineStr">
        <is>
          <t>Each condition is stored with its rule or linked to it, for example in passage metadata or by retrieving the parent section.</t>
        </is>
      </c>
      <c r="C14" s="24" t="n"/>
      <c r="D14" s="24" t="n"/>
      <c r="E14" s="18" t="n"/>
      <c r="F14" s="25">
        <f>IF(E14="Yes",2,IF(E14="Partial",1,IF(E14="No",0,"")))</f>
        <v/>
      </c>
      <c r="G14" s="25">
        <f>IF(E14="Yes","Pass",IF(E14="Partial","Partial",IF(E14="No","Fail","")))</f>
        <v/>
      </c>
      <c r="H14" s="24" t="n"/>
      <c r="Y14" s="10">
        <f>IF(E14="No",2,IF(E14="Partial",3,9))</f>
        <v/>
      </c>
    </row>
    <row r="15" ht="22" customHeight="1">
      <c r="A15" s="22" t="inlineStr">
        <is>
          <t>Retrieval</t>
        </is>
      </c>
      <c r="B15" s="23" t="n"/>
      <c r="C15" s="23" t="n"/>
      <c r="D15" s="23" t="n"/>
      <c r="E15" s="23" t="n"/>
      <c r="F15" s="23" t="n"/>
      <c r="G15" s="23" t="n"/>
      <c r="H15" s="23" t="n"/>
    </row>
    <row r="16" ht="36" customHeight="1">
      <c r="A16" s="25" t="inlineStr">
        <is>
          <t>4 ★</t>
        </is>
      </c>
      <c r="B16" s="21" t="inlineStr">
        <is>
          <t>Retrieval returns the condition along with the rule (Tab 2 condition recall).</t>
        </is>
      </c>
      <c r="C16" s="24" t="n"/>
      <c r="D16" s="24" t="n"/>
      <c r="E16" s="18" t="n"/>
      <c r="F16" s="25">
        <f>IF(E16="Yes",2,IF(E16="Partial",1,IF(E16="No",0,"")))</f>
        <v/>
      </c>
      <c r="G16" s="25">
        <f>IF(E16="Yes","Pass",IF(E16="Partial","Partial",IF(E16="No","Fail","")))</f>
        <v/>
      </c>
      <c r="H16" s="26">
        <f>"Condition recall (Tab 2): "&amp;IF('2 · Spot Check'!C5="","not measured yet",TEXT('2 · Spot Check'!C5,"0.0%"))</f>
        <v/>
      </c>
      <c r="Y16" s="10">
        <f>IF(E16="No",1,IF(E16="Partial",3,9))</f>
        <v/>
      </c>
    </row>
    <row r="17" ht="24" customHeight="1">
      <c r="A17" s="15" t="n">
        <v>5</v>
      </c>
      <c r="B17" s="21" t="inlineStr">
        <is>
          <t>Superseded or conflicting versions of a rule are excluded or flagged.</t>
        </is>
      </c>
      <c r="C17" s="24" t="n"/>
      <c r="D17" s="24" t="n"/>
      <c r="E17" s="18" t="n"/>
      <c r="F17" s="25">
        <f>IF(E17="Yes",2,IF(E17="Partial",1,IF(E17="No",0,"")))</f>
        <v/>
      </c>
      <c r="G17" s="25">
        <f>IF(E17="Yes","Pass",IF(E17="Partial","Partial",IF(E17="No","Fail","")))</f>
        <v/>
      </c>
      <c r="H17" s="24" t="n"/>
      <c r="Y17" s="10">
        <f>IF(E17="No",2,IF(E17="Partial",3,9))</f>
        <v/>
      </c>
    </row>
    <row r="18" ht="24" customHeight="1">
      <c r="A18" s="15" t="n">
        <v>6</v>
      </c>
      <c r="B18" s="21" t="inlineStr">
        <is>
          <t>Exceptions and overrides to a rule are retrieved with it.</t>
        </is>
      </c>
      <c r="C18" s="24" t="n"/>
      <c r="D18" s="24" t="n"/>
      <c r="E18" s="18" t="n"/>
      <c r="F18" s="25">
        <f>IF(E18="Yes",2,IF(E18="Partial",1,IF(E18="No",0,"")))</f>
        <v/>
      </c>
      <c r="G18" s="25">
        <f>IF(E18="Yes","Pass",IF(E18="Partial","Partial",IF(E18="No","Fail","")))</f>
        <v/>
      </c>
      <c r="H18" s="24" t="n"/>
      <c r="Y18" s="10">
        <f>IF(E18="No",2,IF(E18="Partial",3,9))</f>
        <v/>
      </c>
    </row>
    <row r="19" ht="22" customHeight="1">
      <c r="A19" s="22" t="inlineStr">
        <is>
          <t>Answer</t>
        </is>
      </c>
      <c r="B19" s="23" t="n"/>
      <c r="C19" s="23" t="n"/>
      <c r="D19" s="23" t="n"/>
      <c r="E19" s="23" t="n"/>
      <c r="F19" s="23" t="n"/>
      <c r="G19" s="23" t="n"/>
      <c r="H19" s="23" t="n"/>
    </row>
    <row r="20" ht="36" customHeight="1">
      <c r="A20" s="25" t="inlineStr">
        <is>
          <t>7 ★</t>
        </is>
      </c>
      <c r="B20" s="21" t="inlineStr">
        <is>
          <t>The assistant has, or asks for, every asker fact the conditions depend on.</t>
        </is>
      </c>
      <c r="C20" s="24" t="n"/>
      <c r="D20" s="24" t="n"/>
      <c r="E20" s="18" t="n"/>
      <c r="F20" s="25">
        <f>IF(E20="Yes",2,IF(E20="Partial",1,IF(E20="No",0,"")))</f>
        <v/>
      </c>
      <c r="G20" s="25">
        <f>IF(E20="Yes","Pass",IF(E20="Partial","Partial",IF(E20="No","Fail","")))</f>
        <v/>
      </c>
      <c r="H20" s="26">
        <f>"Conditions the assistant can't check (Tab 1): "&amp;'1 · Condition Map'!C7</f>
        <v/>
      </c>
      <c r="Y20" s="10">
        <f>IF(E20="No",1,IF(E20="Partial",3,9))</f>
        <v/>
      </c>
    </row>
    <row r="21" ht="24" customHeight="1">
      <c r="A21" s="15" t="n">
        <v>8</v>
      </c>
      <c r="B21" s="21" t="inlineStr">
        <is>
          <t>The answer states the conditions it relied on, not just the rule.</t>
        </is>
      </c>
      <c r="C21" s="24" t="n"/>
      <c r="D21" s="24" t="n"/>
      <c r="E21" s="18" t="n"/>
      <c r="F21" s="25">
        <f>IF(E21="Yes",2,IF(E21="Partial",1,IF(E21="No",0,"")))</f>
        <v/>
      </c>
      <c r="G21" s="25">
        <f>IF(E21="Yes","Pass",IF(E21="Partial","Partial",IF(E21="No","Fail","")))</f>
        <v/>
      </c>
      <c r="H21" s="24" t="n"/>
      <c r="Y21" s="10">
        <f>IF(E21="No",2,IF(E21="Partial",3,9))</f>
        <v/>
      </c>
    </row>
    <row r="22" ht="35" customHeight="1">
      <c r="A22" s="15" t="n">
        <v>9</v>
      </c>
      <c r="B22" s="21" t="inlineStr">
        <is>
          <t>When an asker fact is missing, the answer is conditional (“it depends on your length of service”) or the assistant asks; it doesn’t default to yes.</t>
        </is>
      </c>
      <c r="C22" s="24" t="n"/>
      <c r="D22" s="24" t="n"/>
      <c r="E22" s="18" t="n"/>
      <c r="F22" s="25">
        <f>IF(E22="Yes",2,IF(E22="Partial",1,IF(E22="No",0,"")))</f>
        <v/>
      </c>
      <c r="G22" s="25">
        <f>IF(E22="Yes","Pass",IF(E22="Partial","Partial",IF(E22="No","Fail","")))</f>
        <v/>
      </c>
      <c r="H22" s="24" t="n"/>
      <c r="Y22" s="10">
        <f>IF(E22="No",2,IF(E22="Partial",3,9))</f>
        <v/>
      </c>
    </row>
    <row r="23" ht="35" customHeight="1">
      <c r="A23" s="15" t="n">
        <v>10</v>
      </c>
      <c r="B23" s="21" t="inlineStr">
        <is>
          <t>Answers that affect health, money or employment point to a named human contact or the official source for confirmation.</t>
        </is>
      </c>
      <c r="C23" s="24" t="n"/>
      <c r="D23" s="24" t="n"/>
      <c r="E23" s="18" t="n"/>
      <c r="F23" s="25">
        <f>IF(E23="Yes",2,IF(E23="Partial",1,IF(E23="No",0,"")))</f>
        <v/>
      </c>
      <c r="G23" s="25">
        <f>IF(E23="Yes","Pass",IF(E23="Partial","Partial",IF(E23="No","Fail","")))</f>
        <v/>
      </c>
      <c r="H23" s="24" t="n"/>
      <c r="Y23" s="10">
        <f>IF(E23="No",2,IF(E23="Partial",3,9))</f>
        <v/>
      </c>
    </row>
    <row r="24" ht="22" customHeight="1">
      <c r="A24" s="22" t="inlineStr">
        <is>
          <t>Evaluation</t>
        </is>
      </c>
      <c r="B24" s="23" t="n"/>
      <c r="C24" s="23" t="n"/>
      <c r="D24" s="23" t="n"/>
      <c r="E24" s="23" t="n"/>
      <c r="F24" s="23" t="n"/>
      <c r="G24" s="23" t="n"/>
      <c r="H24" s="23" t="n"/>
    </row>
    <row r="25" ht="36" customHeight="1">
      <c r="A25" s="25" t="inlineStr">
        <is>
          <t>11 ★</t>
        </is>
      </c>
      <c r="B25" s="21" t="inlineStr">
        <is>
          <t>The eval set includes cases where the cited text is true but doesn’t apply, scored separately from groundedness (Tab 4).</t>
        </is>
      </c>
      <c r="C25" s="24" t="n"/>
      <c r="D25" s="24" t="n"/>
      <c r="E25" s="18" t="n"/>
      <c r="F25" s="25">
        <f>IF(E25="Yes",2,IF(E25="Partial",1,IF(E25="No",0,"")))</f>
        <v/>
      </c>
      <c r="G25" s="25">
        <f>IF(E25="Yes","Pass",IF(E25="Partial","Partial",IF(E25="No","Fail","")))</f>
        <v/>
      </c>
      <c r="H25" s="26">
        <f>"Test cases written (Tab 4): "&amp;'4 · Test Cases'!C5</f>
        <v/>
      </c>
      <c r="Y25" s="10">
        <f>IF(E25="No",1,IF(E25="Partial",3,9))</f>
        <v/>
      </c>
    </row>
    <row r="26" ht="24" customHeight="1">
      <c r="A26" s="15" t="n">
        <v>12</v>
      </c>
      <c r="B26" s="21" t="inlineStr">
        <is>
          <t>A named owner re-runs this check when a source policy changes.</t>
        </is>
      </c>
      <c r="C26" s="24" t="n"/>
      <c r="D26" s="24" t="n"/>
      <c r="E26" s="18" t="n"/>
      <c r="F26" s="25">
        <f>IF(E26="Yes",2,IF(E26="Partial",1,IF(E26="No",0,"")))</f>
        <v/>
      </c>
      <c r="G26" s="25">
        <f>IF(E26="Yes","Pass",IF(E26="Partial","Partial",IF(E26="No","Fail","")))</f>
        <v/>
      </c>
      <c r="H26" s="24" t="n"/>
      <c r="Y26" s="10">
        <f>IF(E26="No",2,IF(E26="Partial",3,9))</f>
        <v/>
      </c>
    </row>
  </sheetData>
  <sheetProtection selectLockedCells="0" selectUnlockedCells="0" sheet="1" objects="0" insertRows="1" insertHyperlinks="1" autoFilter="1" scenarios="0" formatColumns="0" deleteColumns="1" insertColumns="1" pivotTables="1" deleteRows="1" formatCells="1" formatRows="0" sort="1"/>
  <mergeCells count="27">
    <mergeCell ref="B14:D14"/>
    <mergeCell ref="A15:H15"/>
    <mergeCell ref="B23:D23"/>
    <mergeCell ref="A24:H24"/>
    <mergeCell ref="B17:D17"/>
    <mergeCell ref="B13:D13"/>
    <mergeCell ref="A11:H11"/>
    <mergeCell ref="A6:B6"/>
    <mergeCell ref="B10:D10"/>
    <mergeCell ref="D6:H6"/>
    <mergeCell ref="A7:B7"/>
    <mergeCell ref="C8:H8"/>
    <mergeCell ref="B20:D20"/>
    <mergeCell ref="A3:H3"/>
    <mergeCell ref="D7:H7"/>
    <mergeCell ref="A2:H2"/>
    <mergeCell ref="A5:B5"/>
    <mergeCell ref="B26:D26"/>
    <mergeCell ref="B25:D25"/>
    <mergeCell ref="A8:B8"/>
    <mergeCell ref="B16:D16"/>
    <mergeCell ref="B22:D22"/>
    <mergeCell ref="B18:D18"/>
    <mergeCell ref="D5:H5"/>
    <mergeCell ref="A19:H19"/>
    <mergeCell ref="B21:D21"/>
    <mergeCell ref="B12:D12"/>
  </mergeCells>
  <conditionalFormatting sqref="G11:G26">
    <cfRule type="expression" priority="1" dxfId="1">
      <formula>G11="Pass"</formula>
    </cfRule>
    <cfRule type="expression" priority="2" dxfId="2">
      <formula>G11="Partial"</formula>
    </cfRule>
    <cfRule type="expression" priority="3" dxfId="0">
      <formula>G11="Fail"</formula>
    </cfRule>
  </conditionalFormatting>
  <conditionalFormatting sqref="C5">
    <cfRule type="expression" priority="4" dxfId="3">
      <formula>C5="Ready"</formula>
    </cfRule>
    <cfRule type="expression" priority="5" dxfId="4">
      <formula>C5="Fix first"</formula>
    </cfRule>
    <cfRule type="expression" priority="6" dxfId="5">
      <formula>C5="Hold"</formula>
    </cfRule>
  </conditionalFormatting>
  <dataValidations count="1">
    <dataValidation sqref="E12 E13 E14 E16 E17 E18 E20 E21 E22 E23 E25 E26" showDropDown="0" showInputMessage="0" showErrorMessage="1" allowBlank="1" errorTitle="Not an option" error="Pick one of the options in the list." type="list">
      <formula1>$Z$1:$Z$3</formula1>
    </dataValidation>
  </dataValidation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183D32"/>
    <outlinePr summaryBelow="1" summaryRight="1"/>
    <pageSetUpPr fitToPage="1"/>
  </sheetPr>
  <dimension ref="A1:Z27"/>
  <sheetViews>
    <sheetView workbookViewId="0">
      <pane ySplit="12" topLeftCell="A13" activePane="bottomLeft" state="frozen"/>
      <selection pane="bottomLeft" activeCell="A1" sqref="A1"/>
    </sheetView>
  </sheetViews>
  <sheetFormatPr baseColWidth="8" defaultRowHeight="15"/>
  <cols>
    <col width="6" customWidth="1" min="1" max="1"/>
    <col width="38" customWidth="1" min="2" max="2"/>
    <col width="26" customWidth="1" min="3" max="3"/>
    <col width="24" customWidth="1" min="4" max="4"/>
    <col width="24" customWidth="1" min="5" max="5"/>
    <col width="28" customWidth="1" min="6" max="6"/>
    <col width="26" customWidth="1" min="7" max="7"/>
    <col width="26" customWidth="1" min="8" max="8"/>
    <col hidden="1" width="13" customWidth="1" min="25" max="25"/>
    <col hidden="1" width="13" customWidth="1" min="26" max="26"/>
  </cols>
  <sheetData>
    <row r="1" ht="28" customHeight="1">
      <c r="A1" s="11" t="inlineStr">
        <is>
          <t>4 · Test Cases</t>
        </is>
      </c>
      <c r="Z1" s="8" t="inlineStr">
        <is>
          <t>Answer no</t>
        </is>
      </c>
    </row>
    <row r="2" ht="20" customHeight="1">
      <c r="A2" s="3" t="inlineStr">
        <is>
          <t>Would your evals catch a true citation that doesn’t apply?</t>
        </is>
      </c>
      <c r="Z2" s="8" t="inlineStr">
        <is>
          <t>Answer conditionally</t>
        </is>
      </c>
    </row>
    <row r="3" ht="28" customHeight="1">
      <c r="A3" s="19" t="inlineStr">
        <is>
          <t>Groundedness evals will mark these answers as supported. Score them on whether the answer is right for the asker.</t>
        </is>
      </c>
      <c r="Z3" s="8" t="inlineStr">
        <is>
          <t>Ask for the missing fact</t>
        </is>
      </c>
    </row>
    <row r="4">
      <c r="Z4" s="8" t="inlineStr">
        <is>
          <t>Route to a human</t>
        </is>
      </c>
    </row>
    <row r="5" ht="24" customHeight="1">
      <c r="A5" s="7" t="inlineStr">
        <is>
          <t>Test cases written</t>
        </is>
      </c>
      <c r="C5" s="13">
        <f>COUNTA(B13:B27)</f>
        <v/>
      </c>
    </row>
    <row r="7">
      <c r="A7" s="27" t="inlineStr">
        <is>
          <t>Two examples, for guidance. They are not counted.</t>
        </is>
      </c>
    </row>
    <row r="8" ht="32" customHeight="1">
      <c r="A8" s="14" t="inlineStr">
        <is>
          <t>#</t>
        </is>
      </c>
      <c r="B8" s="14" t="inlineStr">
        <is>
          <t>Question</t>
        </is>
      </c>
      <c r="C8" s="14" t="inlineStr">
        <is>
          <t>Asker profile</t>
        </is>
      </c>
      <c r="D8" s="14" t="inlineStr">
        <is>
          <t>Clause the assistant will cite</t>
        </is>
      </c>
      <c r="E8" s="14" t="inlineStr">
        <is>
          <t>Correct answer for this asker</t>
        </is>
      </c>
      <c r="F8" s="14" t="inlineStr">
        <is>
          <t>Why the citation alone misleads</t>
        </is>
      </c>
      <c r="G8" s="14" t="inlineStr">
        <is>
          <t>Expected behaviour</t>
        </is>
      </c>
    </row>
    <row r="9" ht="46.5" customHeight="1">
      <c r="A9" s="28" t="inlineStr">
        <is>
          <t>e.g.</t>
        </is>
      </c>
      <c r="B9" s="29" t="inlineStr">
        <is>
          <t>Can I add my spouse to my health cover?</t>
        </is>
      </c>
      <c r="C9" s="29" t="inlineStr">
        <is>
          <t>Married 45 days ago</t>
        </is>
      </c>
      <c r="D9" s="29" t="inlineStr">
        <is>
          <t>Employees may add dependants to their cover.</t>
        </is>
      </c>
      <c r="E9" s="29" t="inlineStr">
        <is>
          <t>Not now. The window closed 30 days after the wedding.</t>
        </is>
      </c>
      <c r="F9" s="29" t="inlineStr">
        <is>
          <t>The 30-day window is in the next sentence, and retrieval returned only the first.</t>
        </is>
      </c>
      <c r="G9" s="29" t="inlineStr">
        <is>
          <t>Answer no</t>
        </is>
      </c>
    </row>
    <row r="10" ht="46.5" customHeight="1">
      <c r="A10" s="28" t="inlineStr">
        <is>
          <t>e.g.</t>
        </is>
      </c>
      <c r="B10" s="29" t="inlineStr">
        <is>
          <t>Does my plan cover outpatient physiotherapy?</t>
        </is>
      </c>
      <c r="C10" s="29" t="inlineStr">
        <is>
          <t>Plan not known to the assistant</t>
        </is>
      </c>
      <c r="D10" s="29" t="inlineStr">
        <is>
          <t>Coverage includes outpatient care.</t>
        </is>
      </c>
      <c r="E10" s="29" t="inlineStr">
        <is>
          <t>Only on the extended plan. It depends on which plan you are enrolled in.</t>
        </is>
      </c>
      <c r="F10" s="29" t="inlineStr">
        <is>
          <t>The plan condition lives in the HR system, not in the policy text.</t>
        </is>
      </c>
      <c r="G10" s="29" t="inlineStr">
        <is>
          <t>Ask for the missing fact</t>
        </is>
      </c>
    </row>
    <row r="11" ht="26" customHeight="1">
      <c r="A11" s="27" t="inlineStr">
        <is>
          <t>Your test cases</t>
        </is>
      </c>
    </row>
    <row r="12" ht="32" customHeight="1">
      <c r="A12" s="14" t="inlineStr">
        <is>
          <t>#</t>
        </is>
      </c>
      <c r="B12" s="14" t="inlineStr">
        <is>
          <t>Question</t>
        </is>
      </c>
      <c r="C12" s="14" t="inlineStr">
        <is>
          <t>Asker profile</t>
        </is>
      </c>
      <c r="D12" s="14" t="inlineStr">
        <is>
          <t>Clause the assistant will cite</t>
        </is>
      </c>
      <c r="E12" s="14" t="inlineStr">
        <is>
          <t>Correct answer for this asker</t>
        </is>
      </c>
      <c r="F12" s="14" t="inlineStr">
        <is>
          <t>Why the citation alone misleads</t>
        </is>
      </c>
      <c r="G12" s="14" t="inlineStr">
        <is>
          <t>Expected behaviour</t>
        </is>
      </c>
    </row>
    <row r="13" ht="30" customHeight="1">
      <c r="A13" s="15" t="n">
        <v>1</v>
      </c>
      <c r="B13" s="16" t="n"/>
      <c r="C13" s="16" t="n"/>
      <c r="D13" s="16" t="n"/>
      <c r="E13" s="16" t="n"/>
      <c r="F13" s="16" t="n"/>
      <c r="G13" s="16" t="n"/>
    </row>
    <row r="14" ht="30" customHeight="1">
      <c r="A14" s="15" t="n">
        <v>2</v>
      </c>
      <c r="B14" s="16" t="n"/>
      <c r="C14" s="16" t="n"/>
      <c r="D14" s="16" t="n"/>
      <c r="E14" s="16" t="n"/>
      <c r="F14" s="16" t="n"/>
      <c r="G14" s="16" t="n"/>
    </row>
    <row r="15" ht="30" customHeight="1">
      <c r="A15" s="15" t="n">
        <v>3</v>
      </c>
      <c r="B15" s="16" t="n"/>
      <c r="C15" s="16" t="n"/>
      <c r="D15" s="16" t="n"/>
      <c r="E15" s="16" t="n"/>
      <c r="F15" s="16" t="n"/>
      <c r="G15" s="16" t="n"/>
    </row>
    <row r="16" ht="30" customHeight="1">
      <c r="A16" s="15" t="n">
        <v>4</v>
      </c>
      <c r="B16" s="16" t="n"/>
      <c r="C16" s="16" t="n"/>
      <c r="D16" s="16" t="n"/>
      <c r="E16" s="16" t="n"/>
      <c r="F16" s="16" t="n"/>
      <c r="G16" s="16" t="n"/>
    </row>
    <row r="17" ht="30" customHeight="1">
      <c r="A17" s="15" t="n">
        <v>5</v>
      </c>
      <c r="B17" s="16" t="n"/>
      <c r="C17" s="16" t="n"/>
      <c r="D17" s="16" t="n"/>
      <c r="E17" s="16" t="n"/>
      <c r="F17" s="16" t="n"/>
      <c r="G17" s="16" t="n"/>
    </row>
    <row r="18" ht="30" customHeight="1">
      <c r="A18" s="15" t="n">
        <v>6</v>
      </c>
      <c r="B18" s="16" t="n"/>
      <c r="C18" s="16" t="n"/>
      <c r="D18" s="16" t="n"/>
      <c r="E18" s="16" t="n"/>
      <c r="F18" s="16" t="n"/>
      <c r="G18" s="16" t="n"/>
    </row>
    <row r="19" ht="30" customHeight="1">
      <c r="A19" s="15" t="n">
        <v>7</v>
      </c>
      <c r="B19" s="16" t="n"/>
      <c r="C19" s="16" t="n"/>
      <c r="D19" s="16" t="n"/>
      <c r="E19" s="16" t="n"/>
      <c r="F19" s="16" t="n"/>
      <c r="G19" s="16" t="n"/>
    </row>
    <row r="20" ht="30" customHeight="1">
      <c r="A20" s="15" t="n">
        <v>8</v>
      </c>
      <c r="B20" s="16" t="n"/>
      <c r="C20" s="16" t="n"/>
      <c r="D20" s="16" t="n"/>
      <c r="E20" s="16" t="n"/>
      <c r="F20" s="16" t="n"/>
      <c r="G20" s="16" t="n"/>
    </row>
    <row r="21" ht="30" customHeight="1">
      <c r="A21" s="15" t="n">
        <v>9</v>
      </c>
      <c r="B21" s="16" t="n"/>
      <c r="C21" s="16" t="n"/>
      <c r="D21" s="16" t="n"/>
      <c r="E21" s="16" t="n"/>
      <c r="F21" s="16" t="n"/>
      <c r="G21" s="16" t="n"/>
    </row>
    <row r="22" ht="30" customHeight="1">
      <c r="A22" s="15" t="n">
        <v>10</v>
      </c>
      <c r="B22" s="16" t="n"/>
      <c r="C22" s="16" t="n"/>
      <c r="D22" s="16" t="n"/>
      <c r="E22" s="16" t="n"/>
      <c r="F22" s="16" t="n"/>
      <c r="G22" s="16" t="n"/>
    </row>
    <row r="23" ht="30" customHeight="1">
      <c r="A23" s="15" t="n">
        <v>11</v>
      </c>
      <c r="B23" s="16" t="n"/>
      <c r="C23" s="16" t="n"/>
      <c r="D23" s="16" t="n"/>
      <c r="E23" s="16" t="n"/>
      <c r="F23" s="16" t="n"/>
      <c r="G23" s="16" t="n"/>
    </row>
    <row r="24" ht="30" customHeight="1">
      <c r="A24" s="15" t="n">
        <v>12</v>
      </c>
      <c r="B24" s="16" t="n"/>
      <c r="C24" s="16" t="n"/>
      <c r="D24" s="16" t="n"/>
      <c r="E24" s="16" t="n"/>
      <c r="F24" s="16" t="n"/>
      <c r="G24" s="16" t="n"/>
    </row>
    <row r="25" ht="30" customHeight="1">
      <c r="A25" s="15" t="n">
        <v>13</v>
      </c>
      <c r="B25" s="16" t="n"/>
      <c r="C25" s="16" t="n"/>
      <c r="D25" s="16" t="n"/>
      <c r="E25" s="16" t="n"/>
      <c r="F25" s="16" t="n"/>
      <c r="G25" s="16" t="n"/>
    </row>
    <row r="26" ht="30" customHeight="1">
      <c r="A26" s="15" t="n">
        <v>14</v>
      </c>
      <c r="B26" s="16" t="n"/>
      <c r="C26" s="16" t="n"/>
      <c r="D26" s="16" t="n"/>
      <c r="E26" s="16" t="n"/>
      <c r="F26" s="16" t="n"/>
      <c r="G26" s="16" t="n"/>
    </row>
    <row r="27" ht="30" customHeight="1">
      <c r="A27" s="15" t="n">
        <v>15</v>
      </c>
      <c r="B27" s="16" t="n"/>
      <c r="C27" s="16" t="n"/>
      <c r="D27" s="16" t="n"/>
      <c r="E27" s="16" t="n"/>
      <c r="F27" s="16" t="n"/>
      <c r="G27" s="16" t="n"/>
    </row>
  </sheetData>
  <sheetProtection selectLockedCells="0" selectUnlockedCells="0" sheet="1" objects="0" insertRows="1" insertHyperlinks="1" autoFilter="1" scenarios="0" formatColumns="0" deleteColumns="1" insertColumns="1" pivotTables="1" deleteRows="1" formatCells="1" formatRows="0" sort="1"/>
  <mergeCells count="3">
    <mergeCell ref="A3:H3"/>
    <mergeCell ref="A2:H2"/>
    <mergeCell ref="A5:B5"/>
  </mergeCells>
  <dataValidations count="1">
    <dataValidation sqref="G13 G14 G15 G16 G17 G18 G19 G20 G21 G22 G23 G24 G25 G26 G27" showDropDown="0" showInputMessage="0" showErrorMessage="1" allowBlank="1" errorTitle="Not an option" error="Pick one of the options in the list." type="list">
      <formula1>$Z$1:$Z$4</formula1>
    </dataValidation>
  </dataValidation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B58A46"/>
    <outlinePr summaryBelow="1" summaryRight="1"/>
    <pageSetUpPr fitToPage="1"/>
  </sheetPr>
  <dimension ref="A1:Z101"/>
  <sheetViews>
    <sheetView workbookViewId="0">
      <pane ySplit="1" topLeftCell="A2" activePane="bottomLeft" state="frozen"/>
      <selection pane="bottomLeft" activeCell="A1" sqref="A1"/>
    </sheetView>
  </sheetViews>
  <sheetFormatPr baseColWidth="8" defaultRowHeight="15"/>
  <cols>
    <col width="6" customWidth="1" min="1" max="1"/>
    <col width="38" customWidth="1" min="2" max="2"/>
    <col width="26" customWidth="1" min="3" max="3"/>
    <col width="24" customWidth="1" min="4" max="4"/>
    <col width="24" customWidth="1" min="5" max="5"/>
    <col width="28" customWidth="1" min="6" max="6"/>
    <col width="26" customWidth="1" min="7" max="7"/>
    <col width="26" customWidth="1" min="8" max="8"/>
    <col hidden="1" width="13" customWidth="1" min="25" max="25"/>
    <col hidden="1" width="13" customWidth="1" min="26" max="26"/>
  </cols>
  <sheetData>
    <row r="1" ht="28" customHeight="1">
      <c r="A1" s="30" t="inlineStr">
        <is>
          <t>Illustrative example: an HR benefits assistant. Not a real system, employer or real figures.</t>
        </is>
      </c>
      <c r="B1" s="31" t="n"/>
      <c r="C1" s="31" t="n"/>
      <c r="D1" s="31" t="n"/>
      <c r="E1" s="31" t="n"/>
      <c r="F1" s="31" t="n"/>
      <c r="G1" s="31" t="n"/>
      <c r="H1" s="31" t="n"/>
      <c r="Z1" s="8" t="inlineStr">
        <is>
          <t>Tenure</t>
        </is>
      </c>
    </row>
    <row r="2">
      <c r="Z2" s="8" t="inlineStr">
        <is>
          <t>Location</t>
        </is>
      </c>
    </row>
    <row r="3" ht="28" customHeight="1">
      <c r="A3" s="11" t="inlineStr">
        <is>
          <t>1 · Condition Map</t>
        </is>
      </c>
      <c r="Z3" s="8" t="inlineStr">
        <is>
          <t>Role or grade</t>
        </is>
      </c>
    </row>
    <row r="4" ht="20" customHeight="1">
      <c r="A4" s="3" t="inlineStr">
        <is>
          <t>Which conditions gate each rule, and where do they live?</t>
        </is>
      </c>
      <c r="Z4" s="8" t="inlineStr">
        <is>
          <t>Plan or tier</t>
        </is>
      </c>
    </row>
    <row r="5" ht="28" customHeight="1">
      <c r="A5" s="12" t="inlineStr">
        <is>
          <t>One row per rule. Write the condition that narrows it, where that condition is stored, and which fact about the asker decides it.</t>
        </is>
      </c>
      <c r="Z5" s="8" t="inlineStr">
        <is>
          <t>Date or version</t>
        </is>
      </c>
    </row>
    <row r="6">
      <c r="Z6" s="8" t="inlineStr">
        <is>
          <t>Other</t>
        </is>
      </c>
    </row>
    <row r="7" ht="24" customHeight="1">
      <c r="A7" s="7" t="inlineStr">
        <is>
          <t>Rules mapped</t>
        </is>
      </c>
      <c r="C7" s="13">
        <f>COUNTA(B12:B26)</f>
        <v/>
      </c>
    </row>
    <row r="8" ht="24" customHeight="1">
      <c r="A8" s="7" t="inlineStr">
        <is>
          <t>Conditions stored away from their rule</t>
        </is>
      </c>
      <c r="C8" s="13">
        <f>COUNTA(F12:F26)-COUNTIF(F12:F26,"Same passage")</f>
        <v/>
      </c>
      <c r="D8" s="12" t="inlineStr">
        <is>
          <t>Anything not in the rule's own passage. Retrieval can return the rule without it.</t>
        </is>
      </c>
      <c r="Z8" s="8" t="inlineStr">
        <is>
          <t>Same passage</t>
        </is>
      </c>
    </row>
    <row r="9" ht="24" customHeight="1">
      <c r="A9" s="7" t="inlineStr">
        <is>
          <t>Conditions the assistant can't check</t>
        </is>
      </c>
      <c r="C9" s="13">
        <f>COUNTIF(H12:H26,"Not available")</f>
        <v/>
      </c>
      <c r="D9" s="12" t="inlineStr">
        <is>
          <t>The assistant has no way to learn this fact about the asker, so it cannot apply the condition.</t>
        </is>
      </c>
      <c r="Z9" s="8" t="inlineStr">
        <is>
          <t>Same document, other section</t>
        </is>
      </c>
    </row>
    <row r="10">
      <c r="Z10" s="8" t="inlineStr">
        <is>
          <t>Other document</t>
        </is>
      </c>
    </row>
    <row r="11" ht="32" customHeight="1">
      <c r="A11" s="14" t="inlineStr">
        <is>
          <t>#</t>
        </is>
      </c>
      <c r="B11" s="14" t="inlineStr">
        <is>
          <t>Rule</t>
        </is>
      </c>
      <c r="C11" s="14" t="inlineStr">
        <is>
          <t>Source and section</t>
        </is>
      </c>
      <c r="D11" s="14" t="inlineStr">
        <is>
          <t>Condition</t>
        </is>
      </c>
      <c r="E11" s="14" t="inlineStr">
        <is>
          <t>Condition type</t>
        </is>
      </c>
      <c r="F11" s="14" t="inlineStr">
        <is>
          <t>Where the condition lives</t>
        </is>
      </c>
      <c r="G11" s="14" t="inlineStr">
        <is>
          <t>Asker fact needed</t>
        </is>
      </c>
      <c r="H11" s="14" t="inlineStr">
        <is>
          <t>Where the assistant gets that fact</t>
        </is>
      </c>
      <c r="Z11" s="8" t="inlineStr">
        <is>
          <t>System of record only</t>
        </is>
      </c>
    </row>
    <row r="12" ht="35" customHeight="1">
      <c r="A12" s="15" t="n">
        <v>1</v>
      </c>
      <c r="B12" s="16" t="inlineStr">
        <is>
          <t>Pre-existing conditions are covered</t>
        </is>
      </c>
      <c r="C12" s="16" t="inlineStr">
        <is>
          <t>Health benefits policy, 4.2 Covered conditions</t>
        </is>
      </c>
      <c r="D12" s="16" t="inlineStr">
        <is>
          <t>More than 18 months of service</t>
        </is>
      </c>
      <c r="E12" s="16" t="inlineStr">
        <is>
          <t>Tenure</t>
        </is>
      </c>
      <c r="F12" s="16" t="inlineStr">
        <is>
          <t>Same document, other section</t>
        </is>
      </c>
      <c r="G12" s="16" t="inlineStr">
        <is>
          <t>Start date</t>
        </is>
      </c>
      <c r="H12" s="16" t="inlineStr">
        <is>
          <t>Not available</t>
        </is>
      </c>
    </row>
    <row r="13" ht="35" customHeight="1">
      <c r="A13" s="15" t="n">
        <v>2</v>
      </c>
      <c r="B13" s="16" t="inlineStr">
        <is>
          <t>Dependants can be added</t>
        </is>
      </c>
      <c r="C13" s="16" t="inlineStr">
        <is>
          <t>Health benefits policy, 5.1 Dependants</t>
        </is>
      </c>
      <c r="D13" s="16" t="inlineStr">
        <is>
          <t>Within 30 days of a qualifying event</t>
        </is>
      </c>
      <c r="E13" s="16" t="inlineStr">
        <is>
          <t>Date or version</t>
        </is>
      </c>
      <c r="F13" s="16" t="inlineStr">
        <is>
          <t>Same passage</t>
        </is>
      </c>
      <c r="G13" s="16" t="inlineStr">
        <is>
          <t>Event date</t>
        </is>
      </c>
      <c r="H13" s="16" t="inlineStr">
        <is>
          <t>Asks the user</t>
        </is>
      </c>
      <c r="Z13" s="8" t="inlineStr">
        <is>
          <t>Asks the user</t>
        </is>
      </c>
    </row>
    <row r="14" ht="35" customHeight="1">
      <c r="A14" s="15" t="n">
        <v>3</v>
      </c>
      <c r="B14" s="16" t="inlineStr">
        <is>
          <t>Coverage includes outpatient care</t>
        </is>
      </c>
      <c r="C14" s="16" t="inlineStr">
        <is>
          <t>Health benefits policy, 4.5 Outpatient care</t>
        </is>
      </c>
      <c r="D14" s="16" t="inlineStr">
        <is>
          <t>Enrolled in the extended plan</t>
        </is>
      </c>
      <c r="E14" s="16" t="inlineStr">
        <is>
          <t>Plan or tier</t>
        </is>
      </c>
      <c r="F14" s="16" t="inlineStr">
        <is>
          <t>System of record only</t>
        </is>
      </c>
      <c r="G14" s="16" t="inlineStr">
        <is>
          <t>Plan enrolled</t>
        </is>
      </c>
      <c r="H14" s="16" t="inlineStr">
        <is>
          <t>User profile or HR system</t>
        </is>
      </c>
      <c r="Z14" s="8" t="inlineStr">
        <is>
          <t>User profile or HR system</t>
        </is>
      </c>
    </row>
    <row r="15" ht="30" customHeight="1">
      <c r="A15" s="15" t="n">
        <v>4</v>
      </c>
      <c r="B15" s="16" t="n"/>
      <c r="C15" s="16" t="n"/>
      <c r="D15" s="16" t="n"/>
      <c r="E15" s="16" t="n"/>
      <c r="F15" s="16" t="n"/>
      <c r="G15" s="16" t="n"/>
      <c r="H15" s="16" t="n"/>
      <c r="Z15" s="8" t="inlineStr">
        <is>
          <t>Not available</t>
        </is>
      </c>
    </row>
    <row r="16" ht="30" customHeight="1">
      <c r="A16" s="15" t="n">
        <v>5</v>
      </c>
      <c r="B16" s="16" t="n"/>
      <c r="C16" s="16" t="n"/>
      <c r="D16" s="16" t="n"/>
      <c r="E16" s="16" t="n"/>
      <c r="F16" s="16" t="n"/>
      <c r="G16" s="16" t="n"/>
      <c r="H16" s="16" t="n"/>
    </row>
    <row r="17" ht="30" customHeight="1">
      <c r="A17" s="15" t="n">
        <v>6</v>
      </c>
      <c r="B17" s="16" t="n"/>
      <c r="C17" s="16" t="n"/>
      <c r="D17" s="16" t="n"/>
      <c r="E17" s="16" t="n"/>
      <c r="F17" s="16" t="n"/>
      <c r="G17" s="16" t="n"/>
      <c r="H17" s="16" t="n"/>
      <c r="Z17" s="8" t="inlineStr">
        <is>
          <t>Yes</t>
        </is>
      </c>
    </row>
    <row r="18" ht="30" customHeight="1">
      <c r="A18" s="15" t="n">
        <v>7</v>
      </c>
      <c r="B18" s="16" t="n"/>
      <c r="C18" s="16" t="n"/>
      <c r="D18" s="16" t="n"/>
      <c r="E18" s="16" t="n"/>
      <c r="F18" s="16" t="n"/>
      <c r="G18" s="16" t="n"/>
      <c r="H18" s="16" t="n"/>
      <c r="Z18" s="8" t="inlineStr">
        <is>
          <t>No</t>
        </is>
      </c>
    </row>
    <row r="19" ht="30" customHeight="1">
      <c r="A19" s="15" t="n">
        <v>8</v>
      </c>
      <c r="B19" s="16" t="n"/>
      <c r="C19" s="16" t="n"/>
      <c r="D19" s="16" t="n"/>
      <c r="E19" s="16" t="n"/>
      <c r="F19" s="16" t="n"/>
      <c r="G19" s="16" t="n"/>
      <c r="H19" s="16" t="n"/>
    </row>
    <row r="20" ht="30" customHeight="1">
      <c r="A20" s="15" t="n">
        <v>9</v>
      </c>
      <c r="B20" s="16" t="n"/>
      <c r="C20" s="16" t="n"/>
      <c r="D20" s="16" t="n"/>
      <c r="E20" s="16" t="n"/>
      <c r="F20" s="16" t="n"/>
      <c r="G20" s="16" t="n"/>
      <c r="H20" s="16" t="n"/>
      <c r="Z20" s="8" t="inlineStr">
        <is>
          <t>Answer no</t>
        </is>
      </c>
    </row>
    <row r="21" ht="30" customHeight="1">
      <c r="A21" s="15" t="n">
        <v>10</v>
      </c>
      <c r="B21" s="16" t="n"/>
      <c r="C21" s="16" t="n"/>
      <c r="D21" s="16" t="n"/>
      <c r="E21" s="16" t="n"/>
      <c r="F21" s="16" t="n"/>
      <c r="G21" s="16" t="n"/>
      <c r="H21" s="16" t="n"/>
      <c r="Z21" s="8" t="inlineStr">
        <is>
          <t>Answer conditionally</t>
        </is>
      </c>
    </row>
    <row r="22" ht="30" customHeight="1">
      <c r="A22" s="15" t="n">
        <v>11</v>
      </c>
      <c r="B22" s="16" t="n"/>
      <c r="C22" s="16" t="n"/>
      <c r="D22" s="16" t="n"/>
      <c r="E22" s="16" t="n"/>
      <c r="F22" s="16" t="n"/>
      <c r="G22" s="16" t="n"/>
      <c r="H22" s="16" t="n"/>
      <c r="Z22" s="8" t="inlineStr">
        <is>
          <t>Ask for the missing fact</t>
        </is>
      </c>
    </row>
    <row r="23" ht="30" customHeight="1">
      <c r="A23" s="15" t="n">
        <v>12</v>
      </c>
      <c r="B23" s="16" t="n"/>
      <c r="C23" s="16" t="n"/>
      <c r="D23" s="16" t="n"/>
      <c r="E23" s="16" t="n"/>
      <c r="F23" s="16" t="n"/>
      <c r="G23" s="16" t="n"/>
      <c r="H23" s="16" t="n"/>
      <c r="Z23" s="8" t="inlineStr">
        <is>
          <t>Route to a human</t>
        </is>
      </c>
    </row>
    <row r="24" ht="30" customHeight="1">
      <c r="A24" s="15" t="n">
        <v>13</v>
      </c>
      <c r="B24" s="16" t="n"/>
      <c r="C24" s="16" t="n"/>
      <c r="D24" s="16" t="n"/>
      <c r="E24" s="16" t="n"/>
      <c r="F24" s="16" t="n"/>
      <c r="G24" s="16" t="n"/>
      <c r="H24" s="16" t="n"/>
    </row>
    <row r="25" ht="30" customHeight="1">
      <c r="A25" s="15" t="n">
        <v>14</v>
      </c>
      <c r="B25" s="16" t="n"/>
      <c r="C25" s="16" t="n"/>
      <c r="D25" s="16" t="n"/>
      <c r="E25" s="16" t="n"/>
      <c r="F25" s="16" t="n"/>
      <c r="G25" s="16" t="n"/>
      <c r="H25" s="16" t="n"/>
      <c r="Z25" s="8" t="inlineStr">
        <is>
          <t>Yes</t>
        </is>
      </c>
    </row>
    <row r="26" ht="30" customHeight="1">
      <c r="A26" s="15" t="n">
        <v>15</v>
      </c>
      <c r="B26" s="16" t="n"/>
      <c r="C26" s="16" t="n"/>
      <c r="D26" s="16" t="n"/>
      <c r="E26" s="16" t="n"/>
      <c r="F26" s="16" t="n"/>
      <c r="G26" s="16" t="n"/>
      <c r="H26" s="16" t="n"/>
      <c r="Z26" s="8" t="inlineStr">
        <is>
          <t>Partial</t>
        </is>
      </c>
    </row>
    <row r="27">
      <c r="Z27" s="8" t="inlineStr">
        <is>
          <t>No</t>
        </is>
      </c>
    </row>
    <row r="29" ht="28" customHeight="1">
      <c r="A29" s="11" t="inlineStr">
        <is>
          <t>2 · Spot Check</t>
        </is>
      </c>
    </row>
    <row r="30" ht="20" customHeight="1">
      <c r="A30" s="3" t="inlineStr">
        <is>
          <t>Does retrieval bring back the conditions with the rule?</t>
        </is>
      </c>
    </row>
    <row r="31" ht="28" customHeight="1">
      <c r="A31" s="12" t="inlineStr">
        <is>
          <t>Ten questions of one type, each with the facts about the asker that decide it. Read the retrieved passages and the answer from a trace, or run the question.</t>
        </is>
      </c>
    </row>
    <row r="33" ht="24" customHeight="1">
      <c r="A33" s="7" t="inlineStr">
        <is>
          <t>Condition recall</t>
        </is>
      </c>
      <c r="C33" s="17">
        <f>IF(COUNTIF(D38:D47,"Yes")=0,"",COUNTIFS(D38:D47,"Yes",E38:E47,"Yes")/COUNTIF(D38:D47,"Yes"))</f>
        <v/>
      </c>
      <c r="D33" s="12" t="inlineStr">
        <is>
          <t>Of the questions where the rule came back, the share where its condition came back too.</t>
        </is>
      </c>
    </row>
    <row r="34" ht="24" customHeight="1">
      <c r="A34" s="7" t="inlineStr">
        <is>
          <t>Cited but wrong</t>
        </is>
      </c>
      <c r="C34" s="13">
        <f>COUNTIFS(G38:G47,"Yes",F38:F47,"No")</f>
        <v/>
      </c>
      <c r="D34" s="12" t="inlineStr">
        <is>
          <t>Answers a reader would trust and act on.</t>
        </is>
      </c>
    </row>
    <row r="35" ht="24" customHeight="1">
      <c r="A35" s="7" t="inlineStr">
        <is>
          <t>Answer accuracy for the asker</t>
        </is>
      </c>
      <c r="C35" s="17">
        <f>IF(COUNTA(F38:F47)=0,"",COUNTIF(F38:F47,"Yes")/COUNTA(F38:F47))</f>
        <v/>
      </c>
      <c r="D35" s="12" t="inlineStr">
        <is>
          <t>Correct for this asker, out of the rows where you recorded whether it was correct.</t>
        </is>
      </c>
    </row>
    <row r="37" ht="32" customHeight="1">
      <c r="A37" s="14" t="inlineStr">
        <is>
          <t>#</t>
        </is>
      </c>
      <c r="B37" s="14" t="inlineStr">
        <is>
          <t>Question</t>
        </is>
      </c>
      <c r="C37" s="14" t="inlineStr">
        <is>
          <t>Asker facts</t>
        </is>
      </c>
      <c r="D37" s="14" t="inlineStr">
        <is>
          <t>Rule retrieved?</t>
        </is>
      </c>
      <c r="E37" s="14" t="inlineStr">
        <is>
          <t>Condition retrieved?</t>
        </is>
      </c>
      <c r="F37" s="14" t="inlineStr">
        <is>
          <t>Answer correct for this asker?</t>
        </is>
      </c>
      <c r="G37" s="14" t="inlineStr">
        <is>
          <t>Answer cited a source?</t>
        </is>
      </c>
    </row>
    <row r="38" ht="35" customHeight="1">
      <c r="A38" s="15" t="n">
        <v>1</v>
      </c>
      <c r="B38" s="16" t="inlineStr">
        <is>
          <t>Does our health insurance cover pre-existing conditions?</t>
        </is>
      </c>
      <c r="C38" s="16" t="inlineStr">
        <is>
          <t>Joined 26 months ago</t>
        </is>
      </c>
      <c r="D38" s="18" t="inlineStr">
        <is>
          <t>Yes</t>
        </is>
      </c>
      <c r="E38" s="18" t="inlineStr">
        <is>
          <t>Yes</t>
        </is>
      </c>
      <c r="F38" s="18" t="inlineStr">
        <is>
          <t>Yes</t>
        </is>
      </c>
      <c r="G38" s="18" t="inlineStr">
        <is>
          <t>Yes</t>
        </is>
      </c>
    </row>
    <row r="39" ht="35" customHeight="1">
      <c r="A39" s="15" t="n">
        <v>2</v>
      </c>
      <c r="B39" s="16" t="inlineStr">
        <is>
          <t>I joined in February. Is my pre-existing condition covered?</t>
        </is>
      </c>
      <c r="C39" s="16" t="inlineStr">
        <is>
          <t>Joined 8 months ago</t>
        </is>
      </c>
      <c r="D39" s="18" t="inlineStr">
        <is>
          <t>Yes</t>
        </is>
      </c>
      <c r="E39" s="18" t="inlineStr">
        <is>
          <t>No</t>
        </is>
      </c>
      <c r="F39" s="18" t="inlineStr">
        <is>
          <t>No</t>
        </is>
      </c>
      <c r="G39" s="18" t="inlineStr">
        <is>
          <t>Yes</t>
        </is>
      </c>
    </row>
    <row r="40" ht="30" customHeight="1">
      <c r="A40" s="15" t="n">
        <v>3</v>
      </c>
      <c r="B40" s="16" t="inlineStr">
        <is>
          <t>Can I add my newborn to my cover?</t>
        </is>
      </c>
      <c r="C40" s="16" t="inlineStr">
        <is>
          <t>Baby born 12 days ago</t>
        </is>
      </c>
      <c r="D40" s="18" t="inlineStr">
        <is>
          <t>Yes</t>
        </is>
      </c>
      <c r="E40" s="18" t="inlineStr">
        <is>
          <t>No</t>
        </is>
      </c>
      <c r="F40" s="18" t="inlineStr">
        <is>
          <t>Yes</t>
        </is>
      </c>
      <c r="G40" s="18" t="inlineStr">
        <is>
          <t>Yes</t>
        </is>
      </c>
    </row>
    <row r="41" ht="35" customHeight="1">
      <c r="A41" s="15" t="n">
        <v>4</v>
      </c>
      <c r="B41" s="16" t="inlineStr">
        <is>
          <t>My wedding was 45 days ago. Can I add my spouse now?</t>
        </is>
      </c>
      <c r="C41" s="16" t="inlineStr">
        <is>
          <t>Married 45 days ago</t>
        </is>
      </c>
      <c r="D41" s="18" t="inlineStr">
        <is>
          <t>Yes</t>
        </is>
      </c>
      <c r="E41" s="18" t="inlineStr">
        <is>
          <t>Yes</t>
        </is>
      </c>
      <c r="F41" s="18" t="inlineStr">
        <is>
          <t>Yes</t>
        </is>
      </c>
      <c r="G41" s="18" t="inlineStr">
        <is>
          <t>Yes</t>
        </is>
      </c>
    </row>
    <row r="42" ht="35" customHeight="1">
      <c r="A42" s="15" t="n">
        <v>5</v>
      </c>
      <c r="B42" s="16" t="inlineStr">
        <is>
          <t>Does my plan pay for outpatient physiotherapy?</t>
        </is>
      </c>
      <c r="C42" s="16" t="inlineStr">
        <is>
          <t>Enrolled in the standard plan</t>
        </is>
      </c>
      <c r="D42" s="18" t="inlineStr">
        <is>
          <t>Yes</t>
        </is>
      </c>
      <c r="E42" s="18" t="inlineStr">
        <is>
          <t>No</t>
        </is>
      </c>
      <c r="F42" s="18" t="inlineStr">
        <is>
          <t>No</t>
        </is>
      </c>
      <c r="G42" s="18" t="inlineStr">
        <is>
          <t>Yes</t>
        </is>
      </c>
    </row>
    <row r="43" ht="35" customHeight="1">
      <c r="A43" s="15" t="n">
        <v>6</v>
      </c>
      <c r="B43" s="16" t="inlineStr">
        <is>
          <t>Is outpatient care covered for me?</t>
        </is>
      </c>
      <c r="C43" s="16" t="inlineStr">
        <is>
          <t>Enrolled in the extended plan</t>
        </is>
      </c>
      <c r="D43" s="18" t="inlineStr">
        <is>
          <t>Yes</t>
        </is>
      </c>
      <c r="E43" s="18" t="inlineStr">
        <is>
          <t>No</t>
        </is>
      </c>
      <c r="F43" s="18" t="inlineStr">
        <is>
          <t>Yes</t>
        </is>
      </c>
      <c r="G43" s="18" t="inlineStr">
        <is>
          <t>Yes</t>
        </is>
      </c>
    </row>
    <row r="44" ht="35" customHeight="1">
      <c r="A44" s="15" t="n">
        <v>7</v>
      </c>
      <c r="B44" s="16" t="inlineStr">
        <is>
          <t>Will my diabetes treatment be covered? I have been here three years.</t>
        </is>
      </c>
      <c r="C44" s="16" t="inlineStr">
        <is>
          <t>Joined 38 months ago</t>
        </is>
      </c>
      <c r="D44" s="18" t="inlineStr">
        <is>
          <t>Yes</t>
        </is>
      </c>
      <c r="E44" s="18" t="inlineStr">
        <is>
          <t>Yes</t>
        </is>
      </c>
      <c r="F44" s="18" t="inlineStr">
        <is>
          <t>Yes</t>
        </is>
      </c>
      <c r="G44" s="18" t="inlineStr">
        <is>
          <t>Yes</t>
        </is>
      </c>
    </row>
    <row r="45" ht="35" customHeight="1">
      <c r="A45" s="15" t="n">
        <v>8</v>
      </c>
      <c r="B45" s="16" t="inlineStr">
        <is>
          <t>I started in June. Is my asthma covered as a pre-existing condition?</t>
        </is>
      </c>
      <c r="C45" s="16" t="inlineStr">
        <is>
          <t>Joined 4 months ago</t>
        </is>
      </c>
      <c r="D45" s="18" t="inlineStr">
        <is>
          <t>Yes</t>
        </is>
      </c>
      <c r="E45" s="18" t="inlineStr">
        <is>
          <t>No</t>
        </is>
      </c>
      <c r="F45" s="18" t="inlineStr">
        <is>
          <t>No</t>
        </is>
      </c>
      <c r="G45" s="18" t="inlineStr">
        <is>
          <t>Yes</t>
        </is>
      </c>
    </row>
    <row r="46" ht="35" customHeight="1">
      <c r="A46" s="15" t="n">
        <v>9</v>
      </c>
      <c r="B46" s="16" t="inlineStr">
        <is>
          <t>We adopted a child last week. Can I add her?</t>
        </is>
      </c>
      <c r="C46" s="16" t="inlineStr">
        <is>
          <t>Adoption 7 days ago</t>
        </is>
      </c>
      <c r="D46" s="18" t="inlineStr">
        <is>
          <t>Yes</t>
        </is>
      </c>
      <c r="E46" s="18" t="inlineStr">
        <is>
          <t>Yes</t>
        </is>
      </c>
      <c r="F46" s="18" t="inlineStr">
        <is>
          <t>Yes</t>
        </is>
      </c>
      <c r="G46" s="18" t="inlineStr">
        <is>
          <t>Yes</t>
        </is>
      </c>
    </row>
    <row r="47" ht="35" customHeight="1">
      <c r="A47" s="15" t="n">
        <v>10</v>
      </c>
      <c r="B47" s="16" t="inlineStr">
        <is>
          <t>Are outpatient specialist visits covered?</t>
        </is>
      </c>
      <c r="C47" s="16" t="inlineStr">
        <is>
          <t>Enrolled in the extended plan</t>
        </is>
      </c>
      <c r="D47" s="18" t="inlineStr">
        <is>
          <t>Yes</t>
        </is>
      </c>
      <c r="E47" s="18" t="inlineStr">
        <is>
          <t>No</t>
        </is>
      </c>
      <c r="F47" s="18" t="inlineStr">
        <is>
          <t>Yes</t>
        </is>
      </c>
      <c r="G47" s="18" t="inlineStr">
        <is>
          <t>Yes</t>
        </is>
      </c>
    </row>
    <row r="50" ht="28" customHeight="1">
      <c r="A50" s="11" t="inlineStr">
        <is>
          <t>3 · Checklist</t>
        </is>
      </c>
    </row>
    <row r="51" ht="20" customHeight="1">
      <c r="A51" s="3" t="inlineStr">
        <is>
          <t>Does the system check the asker’s facts before answering?</t>
        </is>
      </c>
    </row>
    <row r="52" ht="28" customHeight="1">
      <c r="A52" s="12" t="inlineStr">
        <is>
          <t>Answer each check from evidence, not from memory. The four marked ★ are critical: a No on any one of them is a Hold.</t>
        </is>
      </c>
    </row>
    <row r="54" ht="34" customHeight="1">
      <c r="A54" s="19" t="inlineStr">
        <is>
          <t>Decision</t>
        </is>
      </c>
      <c r="C54" s="20">
        <f>IF(OR(E62="No",E65="No",E69="No",E74="No"),"Hold",IF(COUNTA(E60:E75)&lt;12,"",IF(SUM(F60:F75)&gt;=20,"Ready","Fix first")))</f>
        <v/>
      </c>
      <c r="D54" s="7">
        <f>IF(C54="Hold","Don’t trust these answers yet.",IF(C54="Fix first","No critical check fails, but the total is under 20. Fix the gaps before you rely on these answers.",IF(C54="Ready","No critical check is answered No, and the total is 20 or more.",IF(COUNTA(E60:E75)=0,"","Answer all 12 checks to see the decision."))))</f>
        <v/>
      </c>
    </row>
    <row r="55" ht="24" customHeight="1">
      <c r="A55" s="7" t="inlineStr">
        <is>
          <t>Total</t>
        </is>
      </c>
      <c r="C55" s="13">
        <f>SUM(F60:F75)</f>
        <v/>
      </c>
      <c r="D55" s="12" t="inlineStr">
        <is>
          <t>out of 24. Yes scores 2, Partial 1, No 0. Ready needs 20 or more and no critical No.</t>
        </is>
      </c>
    </row>
    <row r="56" ht="24" customHeight="1">
      <c r="A56" s="7" t="inlineStr">
        <is>
          <t>Checks answered</t>
        </is>
      </c>
      <c r="C56" s="13">
        <f>COUNTA(E60:E75)</f>
        <v/>
      </c>
      <c r="D56" s="12" t="inlineStr">
        <is>
          <t>out of 12</t>
        </is>
      </c>
    </row>
    <row r="57" ht="34" customHeight="1">
      <c r="A57" s="19" t="inlineStr">
        <is>
          <t>Your next step</t>
        </is>
      </c>
      <c r="C57" s="21">
        <f>IF(MIN(Y60:Y75)&gt;3,"",INDEX(B60:B75,MATCH(MIN(Y60:Y75),Y60:Y75,0)))</f>
        <v/>
      </c>
    </row>
    <row r="59" ht="32" customHeight="1">
      <c r="A59" s="14" t="inlineStr">
        <is>
          <t>#</t>
        </is>
      </c>
      <c r="B59" s="14" t="inlineStr">
        <is>
          <t>Check</t>
        </is>
      </c>
      <c r="E59" s="14" t="inlineStr">
        <is>
          <t>Answer</t>
        </is>
      </c>
      <c r="F59" s="14" t="inlineStr">
        <is>
          <t>Points</t>
        </is>
      </c>
      <c r="G59" s="14" t="inlineStr">
        <is>
          <t>Status</t>
        </is>
      </c>
      <c r="H59" s="14" t="inlineStr">
        <is>
          <t>Evidence from the other tabs</t>
        </is>
      </c>
    </row>
    <row r="60" ht="22" customHeight="1">
      <c r="A60" s="22" t="inlineStr">
        <is>
          <t>Source</t>
        </is>
      </c>
      <c r="B60" s="23" t="n"/>
      <c r="C60" s="23" t="n"/>
      <c r="D60" s="23" t="n"/>
      <c r="E60" s="23" t="n"/>
      <c r="F60" s="23" t="n"/>
      <c r="G60" s="23" t="n"/>
      <c r="H60" s="23" t="n"/>
    </row>
    <row r="61" ht="35" customHeight="1">
      <c r="A61" s="15" t="n">
        <v>1</v>
      </c>
      <c r="B61" s="21" t="inlineStr">
        <is>
          <t>The source documents are the current versions, and the assistant knows each one’s effective date.</t>
        </is>
      </c>
      <c r="C61" s="24" t="n"/>
      <c r="D61" s="24" t="n"/>
      <c r="E61" s="18" t="inlineStr">
        <is>
          <t>Yes</t>
        </is>
      </c>
      <c r="F61" s="25">
        <f>IF(E61="Yes",2,IF(E61="Partial",1,IF(E61="No",0,"")))</f>
        <v/>
      </c>
      <c r="G61" s="25">
        <f>IF(E61="Yes","Pass",IF(E61="Partial","Partial",IF(E61="No","Fail","")))</f>
        <v/>
      </c>
      <c r="H61" s="24" t="n"/>
      <c r="Y61" s="10">
        <f>IF(E61="No",2,IF(E61="Partial",3,9))</f>
        <v/>
      </c>
    </row>
    <row r="62" ht="36" customHeight="1">
      <c r="A62" s="25" t="inlineStr">
        <is>
          <t>2 ★</t>
        </is>
      </c>
      <c r="B62" s="21" t="inlineStr">
        <is>
          <t>Every rule this answer type relies on has its gating conditions identified (Tab 1).</t>
        </is>
      </c>
      <c r="C62" s="24" t="n"/>
      <c r="D62" s="24" t="n"/>
      <c r="E62" s="18" t="inlineStr">
        <is>
          <t>Yes</t>
        </is>
      </c>
      <c r="F62" s="25">
        <f>IF(E62="Yes",2,IF(E62="Partial",1,IF(E62="No",0,"")))</f>
        <v/>
      </c>
      <c r="G62" s="25">
        <f>IF(E62="Yes","Pass",IF(E62="Partial","Partial",IF(E62="No","Fail","")))</f>
        <v/>
      </c>
      <c r="H62" s="26">
        <f>"Rules mapped (section 1): "&amp;C7</f>
        <v/>
      </c>
      <c r="Y62" s="10">
        <f>IF(E62="No",1,IF(E62="Partial",3,9))</f>
        <v/>
      </c>
    </row>
    <row r="63" ht="35" customHeight="1">
      <c r="A63" s="15" t="n">
        <v>3</v>
      </c>
      <c r="B63" s="21" t="inlineStr">
        <is>
          <t>Each condition is stored with its rule or linked to it, for example in passage metadata or by retrieving the parent section.</t>
        </is>
      </c>
      <c r="C63" s="24" t="n"/>
      <c r="D63" s="24" t="n"/>
      <c r="E63" s="18" t="inlineStr">
        <is>
          <t>No</t>
        </is>
      </c>
      <c r="F63" s="25">
        <f>IF(E63="Yes",2,IF(E63="Partial",1,IF(E63="No",0,"")))</f>
        <v/>
      </c>
      <c r="G63" s="25">
        <f>IF(E63="Yes","Pass",IF(E63="Partial","Partial",IF(E63="No","Fail","")))</f>
        <v/>
      </c>
      <c r="H63" s="24" t="n"/>
      <c r="Y63" s="10">
        <f>IF(E63="No",2,IF(E63="Partial",3,9))</f>
        <v/>
      </c>
    </row>
    <row r="64" ht="22" customHeight="1">
      <c r="A64" s="22" t="inlineStr">
        <is>
          <t>Retrieval</t>
        </is>
      </c>
      <c r="B64" s="23" t="n"/>
      <c r="C64" s="23" t="n"/>
      <c r="D64" s="23" t="n"/>
      <c r="E64" s="23" t="n"/>
      <c r="F64" s="23" t="n"/>
      <c r="G64" s="23" t="n"/>
      <c r="H64" s="23" t="n"/>
    </row>
    <row r="65" ht="36" customHeight="1">
      <c r="A65" s="25" t="inlineStr">
        <is>
          <t>4 ★</t>
        </is>
      </c>
      <c r="B65" s="21" t="inlineStr">
        <is>
          <t>Retrieval returns the condition along with the rule (Tab 2 condition recall).</t>
        </is>
      </c>
      <c r="C65" s="24" t="n"/>
      <c r="D65" s="24" t="n"/>
      <c r="E65" s="18" t="inlineStr">
        <is>
          <t>No</t>
        </is>
      </c>
      <c r="F65" s="25">
        <f>IF(E65="Yes",2,IF(E65="Partial",1,IF(E65="No",0,"")))</f>
        <v/>
      </c>
      <c r="G65" s="25">
        <f>IF(E65="Yes","Pass",IF(E65="Partial","Partial",IF(E65="No","Fail","")))</f>
        <v/>
      </c>
      <c r="H65" s="26">
        <f>"Condition recall (section 2): "&amp;IF(C33="","not measured yet",TEXT(C33,"0.0%"))</f>
        <v/>
      </c>
      <c r="Y65" s="10">
        <f>IF(E65="No",1,IF(E65="Partial",3,9))</f>
        <v/>
      </c>
    </row>
    <row r="66" ht="24" customHeight="1">
      <c r="A66" s="15" t="n">
        <v>5</v>
      </c>
      <c r="B66" s="21" t="inlineStr">
        <is>
          <t>Superseded or conflicting versions of a rule are excluded or flagged.</t>
        </is>
      </c>
      <c r="C66" s="24" t="n"/>
      <c r="D66" s="24" t="n"/>
      <c r="E66" s="18" t="inlineStr">
        <is>
          <t>Yes</t>
        </is>
      </c>
      <c r="F66" s="25">
        <f>IF(E66="Yes",2,IF(E66="Partial",1,IF(E66="No",0,"")))</f>
        <v/>
      </c>
      <c r="G66" s="25">
        <f>IF(E66="Yes","Pass",IF(E66="Partial","Partial",IF(E66="No","Fail","")))</f>
        <v/>
      </c>
      <c r="H66" s="24" t="n"/>
      <c r="Y66" s="10">
        <f>IF(E66="No",2,IF(E66="Partial",3,9))</f>
        <v/>
      </c>
    </row>
    <row r="67" ht="24" customHeight="1">
      <c r="A67" s="15" t="n">
        <v>6</v>
      </c>
      <c r="B67" s="21" t="inlineStr">
        <is>
          <t>Exceptions and overrides to a rule are retrieved with it.</t>
        </is>
      </c>
      <c r="C67" s="24" t="n"/>
      <c r="D67" s="24" t="n"/>
      <c r="E67" s="18" t="inlineStr">
        <is>
          <t>Partial</t>
        </is>
      </c>
      <c r="F67" s="25">
        <f>IF(E67="Yes",2,IF(E67="Partial",1,IF(E67="No",0,"")))</f>
        <v/>
      </c>
      <c r="G67" s="25">
        <f>IF(E67="Yes","Pass",IF(E67="Partial","Partial",IF(E67="No","Fail","")))</f>
        <v/>
      </c>
      <c r="H67" s="24" t="n"/>
      <c r="Y67" s="10">
        <f>IF(E67="No",2,IF(E67="Partial",3,9))</f>
        <v/>
      </c>
    </row>
    <row r="68" ht="22" customHeight="1">
      <c r="A68" s="22" t="inlineStr">
        <is>
          <t>Answer</t>
        </is>
      </c>
      <c r="B68" s="23" t="n"/>
      <c r="C68" s="23" t="n"/>
      <c r="D68" s="23" t="n"/>
      <c r="E68" s="23" t="n"/>
      <c r="F68" s="23" t="n"/>
      <c r="G68" s="23" t="n"/>
      <c r="H68" s="23" t="n"/>
    </row>
    <row r="69" ht="36" customHeight="1">
      <c r="A69" s="25" t="inlineStr">
        <is>
          <t>7 ★</t>
        </is>
      </c>
      <c r="B69" s="21" t="inlineStr">
        <is>
          <t>The assistant has, or asks for, every asker fact the conditions depend on.</t>
        </is>
      </c>
      <c r="C69" s="24" t="n"/>
      <c r="D69" s="24" t="n"/>
      <c r="E69" s="18" t="inlineStr">
        <is>
          <t>No</t>
        </is>
      </c>
      <c r="F69" s="25">
        <f>IF(E69="Yes",2,IF(E69="Partial",1,IF(E69="No",0,"")))</f>
        <v/>
      </c>
      <c r="G69" s="25">
        <f>IF(E69="Yes","Pass",IF(E69="Partial","Partial",IF(E69="No","Fail","")))</f>
        <v/>
      </c>
      <c r="H69" s="26">
        <f>"Conditions the assistant can't check (section 1): "&amp;C9</f>
        <v/>
      </c>
      <c r="Y69" s="10">
        <f>IF(E69="No",1,IF(E69="Partial",3,9))</f>
        <v/>
      </c>
    </row>
    <row r="70" ht="24" customHeight="1">
      <c r="A70" s="15" t="n">
        <v>8</v>
      </c>
      <c r="B70" s="21" t="inlineStr">
        <is>
          <t>The answer states the conditions it relied on, not just the rule.</t>
        </is>
      </c>
      <c r="C70" s="24" t="n"/>
      <c r="D70" s="24" t="n"/>
      <c r="E70" s="18" t="inlineStr">
        <is>
          <t>No</t>
        </is>
      </c>
      <c r="F70" s="25">
        <f>IF(E70="Yes",2,IF(E70="Partial",1,IF(E70="No",0,"")))</f>
        <v/>
      </c>
      <c r="G70" s="25">
        <f>IF(E70="Yes","Pass",IF(E70="Partial","Partial",IF(E70="No","Fail","")))</f>
        <v/>
      </c>
      <c r="H70" s="24" t="n"/>
      <c r="Y70" s="10">
        <f>IF(E70="No",2,IF(E70="Partial",3,9))</f>
        <v/>
      </c>
    </row>
    <row r="71" ht="35" customHeight="1">
      <c r="A71" s="15" t="n">
        <v>9</v>
      </c>
      <c r="B71" s="21" t="inlineStr">
        <is>
          <t>When an asker fact is missing, the answer is conditional (“it depends on your length of service”) or the assistant asks; it doesn’t default to yes.</t>
        </is>
      </c>
      <c r="C71" s="24" t="n"/>
      <c r="D71" s="24" t="n"/>
      <c r="E71" s="18" t="inlineStr">
        <is>
          <t>No</t>
        </is>
      </c>
      <c r="F71" s="25">
        <f>IF(E71="Yes",2,IF(E71="Partial",1,IF(E71="No",0,"")))</f>
        <v/>
      </c>
      <c r="G71" s="25">
        <f>IF(E71="Yes","Pass",IF(E71="Partial","Partial",IF(E71="No","Fail","")))</f>
        <v/>
      </c>
      <c r="H71" s="24" t="n"/>
      <c r="Y71" s="10">
        <f>IF(E71="No",2,IF(E71="Partial",3,9))</f>
        <v/>
      </c>
    </row>
    <row r="72" ht="35" customHeight="1">
      <c r="A72" s="15" t="n">
        <v>10</v>
      </c>
      <c r="B72" s="21" t="inlineStr">
        <is>
          <t>Answers that affect health, money or employment point to a named human contact or the official source for confirmation.</t>
        </is>
      </c>
      <c r="C72" s="24" t="n"/>
      <c r="D72" s="24" t="n"/>
      <c r="E72" s="18" t="inlineStr">
        <is>
          <t>Partial</t>
        </is>
      </c>
      <c r="F72" s="25">
        <f>IF(E72="Yes",2,IF(E72="Partial",1,IF(E72="No",0,"")))</f>
        <v/>
      </c>
      <c r="G72" s="25">
        <f>IF(E72="Yes","Pass",IF(E72="Partial","Partial",IF(E72="No","Fail","")))</f>
        <v/>
      </c>
      <c r="H72" s="24" t="n"/>
      <c r="Y72" s="10">
        <f>IF(E72="No",2,IF(E72="Partial",3,9))</f>
        <v/>
      </c>
    </row>
    <row r="73" ht="22" customHeight="1">
      <c r="A73" s="22" t="inlineStr">
        <is>
          <t>Evaluation</t>
        </is>
      </c>
      <c r="B73" s="23" t="n"/>
      <c r="C73" s="23" t="n"/>
      <c r="D73" s="23" t="n"/>
      <c r="E73" s="23" t="n"/>
      <c r="F73" s="23" t="n"/>
      <c r="G73" s="23" t="n"/>
      <c r="H73" s="23" t="n"/>
    </row>
    <row r="74" ht="36" customHeight="1">
      <c r="A74" s="25" t="inlineStr">
        <is>
          <t>11 ★</t>
        </is>
      </c>
      <c r="B74" s="21" t="inlineStr">
        <is>
          <t>The eval set includes cases where the cited text is true but doesn’t apply, scored separately from groundedness (Tab 4).</t>
        </is>
      </c>
      <c r="C74" s="24" t="n"/>
      <c r="D74" s="24" t="n"/>
      <c r="E74" s="18" t="inlineStr">
        <is>
          <t>No</t>
        </is>
      </c>
      <c r="F74" s="25">
        <f>IF(E74="Yes",2,IF(E74="Partial",1,IF(E74="No",0,"")))</f>
        <v/>
      </c>
      <c r="G74" s="25">
        <f>IF(E74="Yes","Pass",IF(E74="Partial","Partial",IF(E74="No","Fail","")))</f>
        <v/>
      </c>
      <c r="H74" s="26">
        <f>"Test cases written (section 4): "&amp;C84</f>
        <v/>
      </c>
      <c r="Y74" s="10">
        <f>IF(E74="No",1,IF(E74="Partial",3,9))</f>
        <v/>
      </c>
    </row>
    <row r="75" ht="24" customHeight="1">
      <c r="A75" s="15" t="n">
        <v>12</v>
      </c>
      <c r="B75" s="21" t="inlineStr">
        <is>
          <t>A named owner re-runs this check when a source policy changes.</t>
        </is>
      </c>
      <c r="C75" s="24" t="n"/>
      <c r="D75" s="24" t="n"/>
      <c r="E75" s="18" t="inlineStr">
        <is>
          <t>Yes</t>
        </is>
      </c>
      <c r="F75" s="25">
        <f>IF(E75="Yes",2,IF(E75="Partial",1,IF(E75="No",0,"")))</f>
        <v/>
      </c>
      <c r="G75" s="25">
        <f>IF(E75="Yes","Pass",IF(E75="Partial","Partial",IF(E75="No","Fail","")))</f>
        <v/>
      </c>
      <c r="H75" s="24" t="n"/>
      <c r="Y75" s="10">
        <f>IF(E75="No",2,IF(E75="Partial",3,9))</f>
        <v/>
      </c>
    </row>
    <row r="80" ht="28" customHeight="1">
      <c r="A80" s="11" t="inlineStr">
        <is>
          <t>4 · Test Cases</t>
        </is>
      </c>
    </row>
    <row r="81" ht="20" customHeight="1">
      <c r="A81" s="3" t="inlineStr">
        <is>
          <t>Would your evals catch a true citation that doesn’t apply?</t>
        </is>
      </c>
    </row>
    <row r="82" ht="28" customHeight="1">
      <c r="A82" s="19" t="inlineStr">
        <is>
          <t>Groundedness evals will mark these answers as supported. Score them on whether the answer is right for the asker.</t>
        </is>
      </c>
    </row>
    <row r="84" ht="24" customHeight="1">
      <c r="A84" s="7" t="inlineStr">
        <is>
          <t>Test cases written</t>
        </is>
      </c>
      <c r="C84" s="13">
        <f>COUNTA(B87:B101)</f>
        <v/>
      </c>
    </row>
    <row r="86" ht="32" customHeight="1">
      <c r="A86" s="14" t="inlineStr">
        <is>
          <t>#</t>
        </is>
      </c>
      <c r="B86" s="14" t="inlineStr">
        <is>
          <t>Question</t>
        </is>
      </c>
      <c r="C86" s="14" t="inlineStr">
        <is>
          <t>Asker profile</t>
        </is>
      </c>
      <c r="D86" s="14" t="inlineStr">
        <is>
          <t>Clause the assistant will cite</t>
        </is>
      </c>
      <c r="E86" s="14" t="inlineStr">
        <is>
          <t>Correct answer for this asker</t>
        </is>
      </c>
      <c r="F86" s="14" t="inlineStr">
        <is>
          <t>Why the citation alone misleads</t>
        </is>
      </c>
      <c r="G86" s="14" t="inlineStr">
        <is>
          <t>Expected behaviour</t>
        </is>
      </c>
    </row>
    <row r="87" ht="49.5" customHeight="1">
      <c r="A87" s="15" t="n">
        <v>1</v>
      </c>
      <c r="B87" s="16" t="inlineStr">
        <is>
          <t>I joined in February. Does our health insurance cover my pre-existing condition?</t>
        </is>
      </c>
      <c r="C87" s="16" t="inlineStr">
        <is>
          <t>8 months of service</t>
        </is>
      </c>
      <c r="D87" s="16" t="inlineStr">
        <is>
          <t>Pre-existing conditions are covered.</t>
        </is>
      </c>
      <c r="E87" s="16" t="inlineStr">
        <is>
          <t>Not yet. Coverage starts after 18 months of service.</t>
        </is>
      </c>
      <c r="F87" s="16" t="inlineStr">
        <is>
          <t>The tenure condition is in a different section.</t>
        </is>
      </c>
      <c r="G87" s="16" t="inlineStr">
        <is>
          <t>Answer no</t>
        </is>
      </c>
    </row>
    <row r="88" ht="30" customHeight="1">
      <c r="A88" s="15" t="n">
        <v>2</v>
      </c>
      <c r="B88" s="16" t="n"/>
      <c r="C88" s="16" t="n"/>
      <c r="D88" s="16" t="n"/>
      <c r="E88" s="16" t="n"/>
      <c r="F88" s="16" t="n"/>
      <c r="G88" s="16" t="n"/>
    </row>
    <row r="89" ht="30" customHeight="1">
      <c r="A89" s="15" t="n">
        <v>3</v>
      </c>
      <c r="B89" s="16" t="n"/>
      <c r="C89" s="16" t="n"/>
      <c r="D89" s="16" t="n"/>
      <c r="E89" s="16" t="n"/>
      <c r="F89" s="16" t="n"/>
      <c r="G89" s="16" t="n"/>
    </row>
    <row r="90" ht="30" customHeight="1">
      <c r="A90" s="15" t="n">
        <v>4</v>
      </c>
      <c r="B90" s="16" t="n"/>
      <c r="C90" s="16" t="n"/>
      <c r="D90" s="16" t="n"/>
      <c r="E90" s="16" t="n"/>
      <c r="F90" s="16" t="n"/>
      <c r="G90" s="16" t="n"/>
    </row>
    <row r="91" ht="30" customHeight="1">
      <c r="A91" s="15" t="n">
        <v>5</v>
      </c>
      <c r="B91" s="16" t="n"/>
      <c r="C91" s="16" t="n"/>
      <c r="D91" s="16" t="n"/>
      <c r="E91" s="16" t="n"/>
      <c r="F91" s="16" t="n"/>
      <c r="G91" s="16" t="n"/>
    </row>
    <row r="92" ht="30" customHeight="1">
      <c r="A92" s="15" t="n">
        <v>6</v>
      </c>
      <c r="B92" s="16" t="n"/>
      <c r="C92" s="16" t="n"/>
      <c r="D92" s="16" t="n"/>
      <c r="E92" s="16" t="n"/>
      <c r="F92" s="16" t="n"/>
      <c r="G92" s="16" t="n"/>
    </row>
    <row r="93" ht="30" customHeight="1">
      <c r="A93" s="15" t="n">
        <v>7</v>
      </c>
      <c r="B93" s="16" t="n"/>
      <c r="C93" s="16" t="n"/>
      <c r="D93" s="16" t="n"/>
      <c r="E93" s="16" t="n"/>
      <c r="F93" s="16" t="n"/>
      <c r="G93" s="16" t="n"/>
    </row>
    <row r="94" ht="30" customHeight="1">
      <c r="A94" s="15" t="n">
        <v>8</v>
      </c>
      <c r="B94" s="16" t="n"/>
      <c r="C94" s="16" t="n"/>
      <c r="D94" s="16" t="n"/>
      <c r="E94" s="16" t="n"/>
      <c r="F94" s="16" t="n"/>
      <c r="G94" s="16" t="n"/>
    </row>
    <row r="95" ht="30" customHeight="1">
      <c r="A95" s="15" t="n">
        <v>9</v>
      </c>
      <c r="B95" s="16" t="n"/>
      <c r="C95" s="16" t="n"/>
      <c r="D95" s="16" t="n"/>
      <c r="E95" s="16" t="n"/>
      <c r="F95" s="16" t="n"/>
      <c r="G95" s="16" t="n"/>
    </row>
    <row r="96" ht="30" customHeight="1">
      <c r="A96" s="15" t="n">
        <v>10</v>
      </c>
      <c r="B96" s="16" t="n"/>
      <c r="C96" s="16" t="n"/>
      <c r="D96" s="16" t="n"/>
      <c r="E96" s="16" t="n"/>
      <c r="F96" s="16" t="n"/>
      <c r="G96" s="16" t="n"/>
    </row>
    <row r="97" ht="30" customHeight="1">
      <c r="A97" s="15" t="n">
        <v>11</v>
      </c>
      <c r="B97" s="16" t="n"/>
      <c r="C97" s="16" t="n"/>
      <c r="D97" s="16" t="n"/>
      <c r="E97" s="16" t="n"/>
      <c r="F97" s="16" t="n"/>
      <c r="G97" s="16" t="n"/>
    </row>
    <row r="98" ht="30" customHeight="1">
      <c r="A98" s="15" t="n">
        <v>12</v>
      </c>
      <c r="B98" s="16" t="n"/>
      <c r="C98" s="16" t="n"/>
      <c r="D98" s="16" t="n"/>
      <c r="E98" s="16" t="n"/>
      <c r="F98" s="16" t="n"/>
      <c r="G98" s="16" t="n"/>
    </row>
    <row r="99" ht="30" customHeight="1">
      <c r="A99" s="15" t="n">
        <v>13</v>
      </c>
      <c r="B99" s="16" t="n"/>
      <c r="C99" s="16" t="n"/>
      <c r="D99" s="16" t="n"/>
      <c r="E99" s="16" t="n"/>
      <c r="F99" s="16" t="n"/>
      <c r="G99" s="16" t="n"/>
    </row>
    <row r="100" ht="30" customHeight="1">
      <c r="A100" s="15" t="n">
        <v>14</v>
      </c>
      <c r="B100" s="16" t="n"/>
      <c r="C100" s="16" t="n"/>
      <c r="D100" s="16" t="n"/>
      <c r="E100" s="16" t="n"/>
      <c r="F100" s="16" t="n"/>
      <c r="G100" s="16" t="n"/>
    </row>
    <row r="101" ht="30" customHeight="1">
      <c r="A101" s="15" t="n">
        <v>15</v>
      </c>
      <c r="B101" s="16" t="n"/>
      <c r="C101" s="16" t="n"/>
      <c r="D101" s="16" t="n"/>
      <c r="E101" s="16" t="n"/>
      <c r="F101" s="16" t="n"/>
      <c r="G101" s="16" t="n"/>
    </row>
  </sheetData>
  <sheetProtection selectLockedCells="0" selectUnlockedCells="0" sheet="1" objects="0" insertRows="1" insertHyperlinks="1" autoFilter="1" scenarios="0" formatColumns="0" deleteColumns="1" insertColumns="1" pivotTables="1" deleteRows="1" formatCells="1" formatRows="0" sort="1"/>
  <mergeCells count="46">
    <mergeCell ref="D35:H35"/>
    <mergeCell ref="A30:H30"/>
    <mergeCell ref="B67:D67"/>
    <mergeCell ref="D34:H34"/>
    <mergeCell ref="B61:D61"/>
    <mergeCell ref="A73:H73"/>
    <mergeCell ref="A51:H51"/>
    <mergeCell ref="A64:H64"/>
    <mergeCell ref="A82:H82"/>
    <mergeCell ref="A60:H60"/>
    <mergeCell ref="A1:H1"/>
    <mergeCell ref="B69:D69"/>
    <mergeCell ref="A54:B54"/>
    <mergeCell ref="A7:B7"/>
    <mergeCell ref="A84:B84"/>
    <mergeCell ref="B74:D74"/>
    <mergeCell ref="B65:D65"/>
    <mergeCell ref="A56:B56"/>
    <mergeCell ref="A55:B55"/>
    <mergeCell ref="C57:H57"/>
    <mergeCell ref="B63:D63"/>
    <mergeCell ref="A57:B57"/>
    <mergeCell ref="A33:B33"/>
    <mergeCell ref="B62:D62"/>
    <mergeCell ref="A5:H5"/>
    <mergeCell ref="B75:D75"/>
    <mergeCell ref="A8:B8"/>
    <mergeCell ref="D56:H56"/>
    <mergeCell ref="D9:H9"/>
    <mergeCell ref="A35:B35"/>
    <mergeCell ref="A4:H4"/>
    <mergeCell ref="B72:D72"/>
    <mergeCell ref="B59:D59"/>
    <mergeCell ref="D8:H8"/>
    <mergeCell ref="B66:D66"/>
    <mergeCell ref="D55:H55"/>
    <mergeCell ref="A81:H81"/>
    <mergeCell ref="B71:D71"/>
    <mergeCell ref="D33:H33"/>
    <mergeCell ref="A52:H52"/>
    <mergeCell ref="A68:H68"/>
    <mergeCell ref="B70:D70"/>
    <mergeCell ref="A9:B9"/>
    <mergeCell ref="D54:H54"/>
    <mergeCell ref="A31:H31"/>
    <mergeCell ref="A34:B34"/>
  </mergeCells>
  <conditionalFormatting sqref="C9">
    <cfRule type="expression" priority="1" dxfId="0">
      <formula>C9&gt;0</formula>
    </cfRule>
  </conditionalFormatting>
  <conditionalFormatting sqref="C34:H34">
    <cfRule type="expression" priority="2" dxfId="0">
      <formula>$C$34&gt;0</formula>
    </cfRule>
  </conditionalFormatting>
  <conditionalFormatting sqref="G60:G75">
    <cfRule type="expression" priority="3" dxfId="1">
      <formula>G60="Pass"</formula>
    </cfRule>
    <cfRule type="expression" priority="4" dxfId="2">
      <formula>G60="Partial"</formula>
    </cfRule>
    <cfRule type="expression" priority="5" dxfId="0">
      <formula>G60="Fail"</formula>
    </cfRule>
  </conditionalFormatting>
  <conditionalFormatting sqref="C54">
    <cfRule type="expression" priority="6" dxfId="3">
      <formula>C54="Ready"</formula>
    </cfRule>
    <cfRule type="expression" priority="7" dxfId="4">
      <formula>C54="Fix first"</formula>
    </cfRule>
    <cfRule type="expression" priority="8" dxfId="5">
      <formula>C54="Hold"</formula>
    </cfRule>
  </conditionalFormatting>
  <dataValidations count="6">
    <dataValidation sqref="E12 E13 E14 E15 E16 E17 E18 E19 E20 E21 E22 E23 E24 E25 E26" showDropDown="0" showInputMessage="0" showErrorMessage="1" allowBlank="1" errorTitle="Not an option" error="Pick one of the options in the list." type="list">
      <formula1>$Z$1:$Z$6</formula1>
    </dataValidation>
    <dataValidation sqref="F12 F13 F14 F15 F16 F17 F18 F19 F20 F21 F22 F23 F24 F25 F26" showDropDown="0" showInputMessage="0" showErrorMessage="1" allowBlank="1" errorTitle="Not an option" error="Pick one of the options in the list." type="list">
      <formula1>$Z$8:$Z$11</formula1>
    </dataValidation>
    <dataValidation sqref="H12 H13 H14 H15 H16 H17 H18 H19 H20 H21 H22 H23 H24 H25 H26" showDropDown="0" showInputMessage="0" showErrorMessage="1" allowBlank="1" errorTitle="Not an option" error="Pick one of the options in the list." type="list">
      <formula1>$Z$13:$Z$15</formula1>
    </dataValidation>
    <dataValidation sqref="D38 D39 D40 D41 D42 D43 D44 D45 D46 D47 E38 E39 E40 E41 E42 E43 E44 E45 E46 E47 F38 F39 F40 F41 F42 F43 F44 F45 F46 F47 G38 G39 G40 G41 G42 G43 G44 G45 G46 G47" showDropDown="0" showInputMessage="0" showErrorMessage="1" allowBlank="1" errorTitle="Not an option" error="Pick one of the options in the list." type="list">
      <formula1>$Z$17:$Z$18</formula1>
    </dataValidation>
    <dataValidation sqref="G87 G88 G89 G90 G91 G92 G93 G94 G95 G96 G97 G98 G99 G100 G101" showDropDown="0" showInputMessage="0" showErrorMessage="1" allowBlank="1" errorTitle="Not an option" error="Pick one of the options in the list." type="list">
      <formula1>$Z$20:$Z$23</formula1>
    </dataValidation>
    <dataValidation sqref="E61 E62 E63 E65 E66 E67 E69 E70 E71 E72 E74 E75" showDropDown="0" showInputMessage="0" showErrorMessage="1" allowBlank="1" errorTitle="Not an option" error="Pick one of the options in the list." type="list">
      <formula1>$Z$25:$Z$27</formula1>
    </dataValidation>
  </dataValidations>
  <printOptions horizontalCentered="1"/>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Sunil Mathew, co-authored with Claude</dc:creator>
  <dc:title>Citation Fit Check</dc:title>
  <dc:subject>A real citation can support the wrong answer. Check that the rule applies to the person asking.</dc:subject>
  <dcterms:created xsi:type="dcterms:W3CDTF">2026-10-17T05:52:12Z</dcterms:created>
  <dcterms:modified xsi:type="dcterms:W3CDTF">2026-10-17T05:52:12Z</dcterms:modified>
</cp:coreProperties>
</file>