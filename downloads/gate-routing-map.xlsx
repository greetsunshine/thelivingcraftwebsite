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 Gate Inventory" sheetId="2" state="visible" r:id="rId2"/>
    <sheet name="2 · Route Requirements" sheetId="3" state="visible" r:id="rId3"/>
    <sheet name="3 · Checklist" sheetId="4" state="visible" r:id="rId4"/>
    <sheet name="Worked Example" sheetId="5" state="visible" r:id="rId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ource Serif 4"/>
      <color rgb="FF172E26"/>
      <sz val="18"/>
    </font>
    <font>
      <name val="Figtree"/>
      <color rgb="FF526259"/>
      <sz val="12"/>
    </font>
    <font>
      <name val="Figtree"/>
      <color rgb="FF526259"/>
      <sz val="9"/>
    </font>
    <font>
      <name val="Figtree"/>
      <b val="1"/>
      <color rgb="FFF5F0E6"/>
      <sz val="10"/>
    </font>
    <font>
      <name val="Figtree"/>
      <color rgb="FF172E26"/>
      <sz val="11"/>
    </font>
    <font>
      <name val="Figtree"/>
      <b val="1"/>
      <color rgb="FF172E26"/>
      <sz val="11"/>
    </font>
    <font>
      <name val="Source Serif 4"/>
      <color rgb="FF172E26"/>
      <sz val="14"/>
    </font>
    <font>
      <name val="Figtree"/>
      <b val="1"/>
      <color rgb="FF172E26"/>
      <sz val="16"/>
    </font>
    <font>
      <name val="Figtree"/>
      <b val="1"/>
      <color rgb="FF765523"/>
      <sz val="9"/>
    </font>
    <font>
      <name val="Figtree"/>
      <b val="1"/>
      <color rgb="FF963D34"/>
      <sz val="10"/>
    </font>
    <font>
      <name val="Figtree"/>
      <b val="1"/>
      <color rgb="FF765523"/>
      <sz val="10"/>
    </font>
    <font>
      <name val="Figtree"/>
      <b val="1"/>
      <color rgb="FF315D6B"/>
      <sz val="10"/>
    </font>
    <font>
      <name val="Figtree"/>
      <b val="1"/>
      <color rgb="FF526259"/>
      <sz val="10"/>
    </font>
    <font>
      <name val="Figtree"/>
      <b val="1"/>
      <color rgb="FF765523"/>
      <sz val="11"/>
    </font>
    <font>
      <name val="Source Serif 4"/>
      <color rgb="FF172E26"/>
      <sz val="26"/>
    </font>
    <font>
      <name val="Figtree"/>
      <color rgb="FF526259"/>
    </font>
  </fonts>
  <fills count="8">
    <fill>
      <patternFill/>
    </fill>
    <fill>
      <patternFill patternType="gray125"/>
    </fill>
    <fill>
      <patternFill patternType="solid">
        <fgColor rgb="FF183D32"/>
      </patternFill>
    </fill>
    <fill>
      <patternFill patternType="solid">
        <fgColor rgb="FFF4E9CE"/>
      </patternFill>
    </fill>
    <fill>
      <patternFill patternType="solid">
        <fgColor rgb="FFF7E8E3"/>
      </patternFill>
    </fill>
    <fill>
      <patternFill patternType="solid">
        <fgColor rgb="FFE7EFF1"/>
      </patternFill>
    </fill>
    <fill>
      <patternFill patternType="solid">
        <fgColor rgb="FFE5EBE1"/>
      </patternFill>
    </fill>
    <fill>
      <patternFill patternType="solid">
        <fgColor rgb="FFCBD1C8"/>
      </patternFill>
    </fill>
  </fills>
  <borders count="4">
    <border>
      <left/>
      <right/>
      <top/>
      <bottom/>
      <diagonal/>
    </border>
    <border>
      <bottom style="thin">
        <color rgb="FFCBD1C8"/>
      </bottom>
    </border>
    <border>
      <left style="thin">
        <color rgb="FF765523"/>
      </left>
      <right style="thin">
        <color rgb="FF765523"/>
      </right>
      <top style="thin">
        <color rgb="FF765523"/>
      </top>
      <bottom style="thin">
        <color rgb="FF765523"/>
      </bottom>
    </border>
    <border>
      <bottom style="medium">
        <color rgb="FFB58A46"/>
      </bottom>
    </border>
  </borders>
  <cellStyleXfs count="1">
    <xf numFmtId="0" fontId="0" fillId="0" borderId="0"/>
  </cellStyleXfs>
  <cellXfs count="46">
    <xf numFmtId="0" fontId="0" fillId="0" borderId="0" pivotButton="0" quotePrefix="0" xfId="0"/>
    <xf numFmtId="0" fontId="15" fillId="0" borderId="3" applyAlignment="1" pivotButton="0" quotePrefix="0" xfId="0">
      <alignment horizontal="left" vertical="center"/>
    </xf>
    <xf numFmtId="0" fontId="0" fillId="0" borderId="3" pivotButton="0" quotePrefix="0" xfId="0"/>
    <xf numFmtId="0" fontId="2" fillId="0" borderId="0" applyAlignment="1" pivotButton="0" quotePrefix="0" xfId="0">
      <alignment horizontal="left" vertical="center" wrapText="1"/>
    </xf>
    <xf numFmtId="0" fontId="9" fillId="0" borderId="0" applyAlignment="1" pivotButton="0" quotePrefix="0" xfId="0">
      <alignment horizontal="left" vertical="top"/>
    </xf>
    <xf numFmtId="0" fontId="5" fillId="0" borderId="0" applyAlignment="1" pivotButton="0" quotePrefix="0" xfId="0">
      <alignment horizontal="left" vertical="top" wrapText="1"/>
    </xf>
    <xf numFmtId="0" fontId="4" fillId="2" borderId="0" applyAlignment="1" pivotButton="0" quotePrefix="0" xfId="0">
      <alignment horizontal="left" vertical="bottom" wrapText="1"/>
    </xf>
    <xf numFmtId="0" fontId="10" fillId="4" borderId="1" applyAlignment="1" pivotButton="0" quotePrefix="0" xfId="0">
      <alignment horizontal="left" vertical="center" wrapText="1"/>
    </xf>
    <xf numFmtId="0" fontId="5" fillId="0" borderId="1" applyAlignment="1" pivotButton="0" quotePrefix="0" xfId="0">
      <alignment horizontal="left" vertical="center" wrapText="1"/>
    </xf>
    <xf numFmtId="0" fontId="11" fillId="3" borderId="1" applyAlignment="1" pivotButton="0" quotePrefix="0" xfId="0">
      <alignment horizontal="left" vertical="center" wrapText="1"/>
    </xf>
    <xf numFmtId="0" fontId="12" fillId="5" borderId="1" applyAlignment="1" pivotButton="0" quotePrefix="0" xfId="0">
      <alignment horizontal="left" vertical="center" wrapText="1"/>
    </xf>
    <xf numFmtId="0" fontId="13" fillId="6" borderId="1" applyAlignment="1" pivotButton="0" quotePrefix="0" xfId="0">
      <alignment horizontal="left" vertical="center" wrapText="1"/>
    </xf>
    <xf numFmtId="0" fontId="6" fillId="0" borderId="0" applyAlignment="1" pivotButton="0" quotePrefix="0" xfId="0">
      <alignment horizontal="left" vertical="center"/>
    </xf>
    <xf numFmtId="0" fontId="5" fillId="0" borderId="0" applyAlignment="1" pivotButton="0" quotePrefix="0" xfId="0">
      <alignment horizontal="left" vertical="center" wrapText="1"/>
    </xf>
    <xf numFmtId="0" fontId="5" fillId="0" borderId="0" applyAlignment="1" pivotButton="0" quotePrefix="0" xfId="0">
      <alignment horizontal="left" vertical="center"/>
    </xf>
    <xf numFmtId="0" fontId="5" fillId="3" borderId="2" applyAlignment="1" pivotButton="0" quotePrefix="0" xfId="0">
      <alignment horizontal="left" vertical="center"/>
    </xf>
    <xf numFmtId="0" fontId="3" fillId="0" borderId="0" applyAlignment="1" pivotButton="0" quotePrefix="0" xfId="0">
      <alignment horizontal="left" vertical="center"/>
    </xf>
    <xf numFmtId="0" fontId="16" fillId="7" borderId="0" applyAlignment="1" pivotButton="0" quotePrefix="0" xfId="0">
      <alignment horizontal="left" vertical="center"/>
    </xf>
    <xf numFmtId="0" fontId="1"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5" fillId="3" borderId="2" applyAlignment="1" applyProtection="1" pivotButton="0" quotePrefix="0" xfId="0">
      <alignment horizontal="left" vertical="center" wrapText="1" indent="1"/>
      <protection locked="0" hidden="0"/>
    </xf>
    <xf numFmtId="0" fontId="5" fillId="3" borderId="2" applyAlignment="1" applyProtection="1" pivotButton="0" quotePrefix="0" xfId="0">
      <alignment horizontal="center" vertical="center" wrapText="1"/>
      <protection locked="0" hidden="0"/>
    </xf>
    <xf numFmtId="0" fontId="6" fillId="0" borderId="1" applyAlignment="1" pivotButton="0" quotePrefix="0" xfId="0">
      <alignment horizontal="center" vertical="center" wrapText="1"/>
    </xf>
    <xf numFmtId="0" fontId="7" fillId="0" borderId="0" applyAlignment="1" pivotButton="0" quotePrefix="0" xfId="0">
      <alignment horizontal="left" vertical="center"/>
    </xf>
    <xf numFmtId="0" fontId="8" fillId="0" borderId="1" applyAlignment="1" pivotButton="0" quotePrefix="0" xfId="0">
      <alignment horizontal="left" vertical="center"/>
    </xf>
    <xf numFmtId="0" fontId="9" fillId="0" borderId="0" applyAlignment="1" pivotButton="0" quotePrefix="0" xfId="0">
      <alignment horizontal="left" vertical="center"/>
    </xf>
    <xf numFmtId="0" fontId="9" fillId="0" borderId="0" applyAlignment="1" pivotButton="0" quotePrefix="0" xfId="0">
      <alignment horizontal="center" vertical="center" wrapText="1"/>
    </xf>
    <xf numFmtId="0" fontId="10" fillId="4" borderId="1" applyAlignment="1" pivotButton="0" quotePrefix="0" xfId="0">
      <alignment horizontal="left" vertical="center"/>
    </xf>
    <xf numFmtId="0" fontId="6"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1" fillId="3" borderId="1" applyAlignment="1" pivotButton="0" quotePrefix="0" xfId="0">
      <alignment horizontal="left" vertical="center"/>
    </xf>
    <xf numFmtId="0" fontId="12" fillId="5" borderId="1" applyAlignment="1" pivotButton="0" quotePrefix="0" xfId="0">
      <alignment horizontal="left" vertical="center"/>
    </xf>
    <xf numFmtId="0" fontId="13" fillId="6" borderId="1" applyAlignment="1" pivotButton="0" quotePrefix="0" xfId="0">
      <alignment horizontal="left" vertical="center"/>
    </xf>
    <xf numFmtId="0" fontId="6" fillId="0" borderId="0" applyAlignment="1" pivotButton="0" quotePrefix="0" xfId="0">
      <alignment horizontal="left" vertical="center" wrapText="1"/>
    </xf>
    <xf numFmtId="0" fontId="10" fillId="4" borderId="0" applyAlignment="1" pivotButton="0" quotePrefix="0" xfId="0">
      <alignment horizontal="left" vertical="center"/>
    </xf>
    <xf numFmtId="0" fontId="11" fillId="3" borderId="0" applyAlignment="1" pivotButton="0" quotePrefix="0" xfId="0">
      <alignment horizontal="left" vertical="center"/>
    </xf>
    <xf numFmtId="0" fontId="12" fillId="5" borderId="0" applyAlignment="1" pivotButton="0" quotePrefix="0" xfId="0">
      <alignment horizontal="left" vertical="center"/>
    </xf>
    <xf numFmtId="0" fontId="13" fillId="6" borderId="0" applyAlignment="1" pivotButton="0" quotePrefix="0" xfId="0">
      <alignment horizontal="left" vertical="center"/>
    </xf>
    <xf numFmtId="0" fontId="8" fillId="0" borderId="0" applyAlignment="1" pivotButton="0" quotePrefix="0" xfId="0">
      <alignment horizontal="center" vertical="center" wrapText="1"/>
    </xf>
    <xf numFmtId="0" fontId="0" fillId="0" borderId="1" pivotButton="0" quotePrefix="0" xfId="0"/>
    <xf numFmtId="0" fontId="3" fillId="0" borderId="1" applyAlignment="1" pivotButton="0" quotePrefix="0" xfId="0">
      <alignment horizontal="left" vertical="center" wrapText="1"/>
    </xf>
    <xf numFmtId="0" fontId="14" fillId="3" borderId="0" applyAlignment="1" pivotButton="0" quotePrefix="0" xfId="0">
      <alignment horizontal="left" vertical="center" wrapText="1"/>
    </xf>
    <xf numFmtId="0" fontId="0" fillId="3" borderId="0" pivotButton="0" quotePrefix="0" xfId="0"/>
    <xf numFmtId="0" fontId="5" fillId="3" borderId="2" applyAlignment="1" pivotButton="0" quotePrefix="0" xfId="0">
      <alignment horizontal="left" vertical="center" wrapText="1" indent="1"/>
    </xf>
    <xf numFmtId="0" fontId="5" fillId="3" borderId="2" applyAlignment="1" pivotButton="0" quotePrefix="0" xfId="0">
      <alignment horizontal="center" vertical="center" wrapText="1"/>
    </xf>
  </cellXfs>
  <cellStyles count="1">
    <cellStyle name="Normal" xfId="0" builtinId="0" hidden="0"/>
  </cellStyles>
  <dxfs count="9">
    <dxf>
      <font>
        <name val="Figtree"/>
        <b val="1"/>
        <color rgb="FF963D34"/>
      </font>
      <fill>
        <patternFill patternType="solid">
          <fgColor rgb="FFF7E8E3"/>
        </patternFill>
      </fill>
    </dxf>
    <dxf>
      <font>
        <name val="Figtree"/>
        <b val="1"/>
        <color rgb="FF765523"/>
      </font>
      <fill>
        <patternFill patternType="solid">
          <fgColor rgb="FFF4E9CE"/>
        </patternFill>
      </fill>
    </dxf>
    <dxf>
      <font>
        <name val="Figtree"/>
        <b val="1"/>
        <color rgb="FF315D6B"/>
      </font>
      <fill>
        <patternFill patternType="solid">
          <fgColor rgb="FFE7EFF1"/>
        </patternFill>
      </fill>
    </dxf>
    <dxf>
      <font>
        <name val="Figtree"/>
        <b val="1"/>
        <color rgb="FF526259"/>
      </font>
      <fill>
        <patternFill patternType="solid">
          <fgColor rgb="FFE5EBE1"/>
        </patternFill>
      </fill>
    </dxf>
    <dxf>
      <font>
        <name val="Figtree"/>
        <b val="1"/>
        <color rgb="FF963D34"/>
        <sz val="16"/>
      </font>
      <fill>
        <patternFill patternType="solid">
          <fgColor rgb="FFF7E8E3"/>
        </patternFill>
      </fill>
    </dxf>
    <dxf>
      <font>
        <name val="Figtree"/>
        <color rgb="FF526259"/>
      </font>
      <fill>
        <patternFill patternType="solid">
          <fgColor rgb="FFCBD1C8"/>
        </patternFill>
      </fill>
    </dxf>
    <dxf>
      <font>
        <name val="Figtree"/>
        <b val="1"/>
        <color rgb="FF215C42"/>
      </font>
      <fill>
        <patternFill patternType="solid">
          <fgColor rgb="FFE6EFE5"/>
        </patternFill>
      </fill>
    </dxf>
    <dxf>
      <font>
        <name val="Figtree"/>
        <b val="1"/>
        <color rgb="FF215C42"/>
        <sz val="16"/>
      </font>
      <fill>
        <patternFill patternType="solid">
          <fgColor rgb="FFE6EFE5"/>
        </patternFill>
      </fill>
    </dxf>
    <dxf>
      <font>
        <name val="Figtree"/>
        <b val="1"/>
        <color rgb="FF765523"/>
        <sz val="16"/>
      </font>
      <fill>
        <patternFill patternType="solid">
          <fgColor rgb="FFF4E9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ing.thelivingcraft.ai/#apply"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tabColor rgb="00183D32"/>
    <outlinePr summaryBelow="1" summaryRight="1"/>
    <pageSetUpPr fitToPage="1"/>
  </sheetPr>
  <dimension ref="B4:D34"/>
  <sheetViews>
    <sheetView showGridLines="0" workbookViewId="0">
      <selection activeCell="A1" sqref="A1"/>
    </sheetView>
  </sheetViews>
  <sheetFormatPr baseColWidth="8" defaultRowHeight="15"/>
  <cols>
    <col width="3" customWidth="1" min="1" max="1"/>
    <col width="22" customWidth="1" min="2" max="2"/>
    <col width="46" customWidth="1" min="3" max="3"/>
    <col width="64" customWidth="1" min="4" max="4"/>
  </cols>
  <sheetData>
    <row r="2" ht="36" customHeight="1"/>
    <row r="4" ht="40" customHeight="1">
      <c r="B4" s="1" t="inlineStr">
        <is>
          <t>Gate Routing Map</t>
        </is>
      </c>
      <c r="C4" s="2" t="n"/>
      <c r="D4" s="2" t="n"/>
    </row>
    <row r="5" ht="26" customHeight="1">
      <c r="B5" s="3" t="inlineStr">
        <is>
          <t>A gate that only says pass or fail is hiding a decision. Give every case a route.</t>
        </is>
      </c>
    </row>
    <row r="7" ht="51" customHeight="1">
      <c r="B7" s="4" t="inlineStr">
        <is>
          <t>WHAT TO BRING</t>
        </is>
      </c>
      <c r="C7" s="5" t="inlineStr">
        <is>
          <t>One agent you release through automated gates; the list of gate cases or eval suites it runs; for each one, what it checks and how bad it would be if it shipped broken; and the names of any systems that act on the agent’s output, with the teams that own their pipelines.</t>
        </is>
      </c>
    </row>
    <row r="9" ht="36" customHeight="1">
      <c r="B9" s="4" t="inlineStr">
        <is>
          <t>WHAT TO DO</t>
        </is>
      </c>
      <c r="C9" s="5" t="inlineStr">
        <is>
          <t>List your gate cases, give each one a route (Block, Human decides, Check downstream or Track), fill in what each route needs, and score the ten checks.</t>
        </is>
      </c>
    </row>
    <row r="11" ht="36" customHeight="1">
      <c r="B11" s="4" t="inlineStr">
        <is>
          <t>WHAT YOU LEAVE WITH</t>
        </is>
      </c>
      <c r="C11" s="5" t="inlineStr">
        <is>
          <t>A routing map for every gate case, a list of the cases whose route isn’t ready, and a decision: Ready, Fix first or Hold.</t>
        </is>
      </c>
    </row>
    <row r="13">
      <c r="B13" s="4" t="inlineStr">
        <is>
          <t>THE FOUR ROUTES</t>
        </is>
      </c>
    </row>
    <row r="14" ht="22" customHeight="1">
      <c r="B14" s="6" t="inlineStr">
        <is>
          <t>Route</t>
        </is>
      </c>
      <c r="C14" s="6" t="inlineStr">
        <is>
          <t>Use it when</t>
        </is>
      </c>
      <c r="D14" s="6" t="inlineStr">
        <is>
          <t>What the route needs before the release</t>
        </is>
      </c>
    </row>
    <row r="15" ht="36" customHeight="1">
      <c r="B15" s="7" t="inlineStr">
        <is>
          <t>Block</t>
        </is>
      </c>
      <c r="C15" s="8" t="inlineStr">
        <is>
          <t>A regression case a check can decide on its own</t>
        </is>
      </c>
      <c r="D15" s="8" t="inlineStr">
        <is>
          <t>Enough trials, and every trial must pass (pass^k). One green run of a non-deterministic agent overstates its reliability.</t>
        </is>
      </c>
    </row>
    <row r="16" ht="51" customHeight="1">
      <c r="B16" s="9" t="inlineStr">
        <is>
          <t>Human decides</t>
        </is>
      </c>
      <c r="C16" s="8" t="inlineStr">
        <is>
          <t>A serious case that no check can decide unambiguously</t>
        </is>
      </c>
      <c r="D16" s="8" t="inlineStr">
        <is>
          <t>A named owner, a backup owner, and halt criteria written down before the release. People watching releases get used to green and start reading small anomalies as noise.</t>
        </is>
      </c>
    </row>
    <row r="17" ht="66" customHeight="1">
      <c r="B17" s="10" t="inlineStr">
        <is>
          <t>Check downstream</t>
        </is>
      </c>
      <c r="C17" s="8" t="inlineStr">
        <is>
          <t>Another system acts on the agent’s output and ships from its own pipeline</t>
        </is>
      </c>
      <c r="D17" s="8" t="inlineStr">
        <is>
          <t>The system and its owning team named; an output contract; the downstream side verifies that contract before either side deploys; a way to switch the new behaviour on together; a named person who can halt.</t>
        </is>
      </c>
    </row>
    <row r="18" ht="36" customHeight="1">
      <c r="B18" s="11" t="inlineStr">
        <is>
          <t>Track</t>
        </is>
      </c>
      <c r="C18" s="8" t="inlineStr">
        <is>
          <t>Capability cases, or low-severity cases</t>
        </is>
      </c>
      <c r="D18" s="8" t="inlineStr">
        <is>
          <t>An owner who reviews the trend. A drop is worth investigating, not a reason to block.</t>
        </is>
      </c>
    </row>
    <row r="20">
      <c r="B20" s="4" t="inlineStr">
        <is>
          <t>HOW TO USE IT</t>
        </is>
      </c>
      <c r="C20" s="5" t="inlineStr">
        <is>
          <t>Work left to right through tabs 1–3. The Worked Example tab shows a completed version.</t>
        </is>
      </c>
    </row>
    <row r="21" ht="22" customHeight="1">
      <c r="B21" s="12" t="inlineStr">
        <is>
          <t>1 · Gate Inventory</t>
        </is>
      </c>
      <c r="C21" s="13" t="inlineStr">
        <is>
          <t>Which route does each gate case need?</t>
        </is>
      </c>
    </row>
    <row r="22" ht="22" customHeight="1">
      <c r="B22" s="12" t="inlineStr">
        <is>
          <t>2 · Route Requirements</t>
        </is>
      </c>
      <c r="C22" s="13" t="inlineStr">
        <is>
          <t>Does each route have what it needs?</t>
        </is>
      </c>
    </row>
    <row r="23" ht="22" customHeight="1">
      <c r="B23" s="12" t="inlineStr">
        <is>
          <t>3 · Checklist</t>
        </is>
      </c>
      <c r="C23" s="13" t="inlineStr">
        <is>
          <t>Is the gate ready to decide releases?</t>
        </is>
      </c>
    </row>
    <row r="25">
      <c r="B25" s="4" t="inlineStr">
        <is>
          <t>CELL LEGEND</t>
        </is>
      </c>
      <c r="C25" s="14" t="inlineStr">
        <is>
          <t>Shaded cells are yours to fill. Everything else calculates.</t>
        </is>
      </c>
    </row>
    <row r="26" ht="22" customHeight="1">
      <c r="C26" s="15" t="inlineStr">
        <is>
          <t>Yours to fill</t>
        </is>
      </c>
      <c r="D26" s="16" t="inlineStr">
        <is>
          <t>Shaded, with a thin border.</t>
        </is>
      </c>
    </row>
    <row r="27" ht="22" customHeight="1">
      <c r="C27" s="12" t="inlineStr">
        <is>
          <t>Calculates for you</t>
        </is>
      </c>
      <c r="D27" s="16" t="inlineStr">
        <is>
          <t>No fill, and locked.</t>
        </is>
      </c>
    </row>
    <row r="28" ht="22" customHeight="1">
      <c r="C28" s="17" t="inlineStr">
        <is>
          <t>Does not apply</t>
        </is>
      </c>
      <c r="D28" s="16" t="inlineStr">
        <is>
          <t>On Tab 2, a column that is not for this row’s route.</t>
        </is>
      </c>
    </row>
    <row r="30">
      <c r="B30" s="16" t="inlineStr">
        <is>
          <t>© The Living Craft · thelivingcraft.ai · Content CC BY 4.0</t>
        </is>
      </c>
    </row>
    <row r="31">
      <c r="B31" s="16" t="inlineStr">
        <is>
          <t>Built by Sunil Mathew, co-authored with Claude</t>
        </is>
      </c>
    </row>
    <row r="33" ht="36" customHeight="1">
      <c r="B33" s="4" t="inlineStr">
        <is>
          <t>THE LIVING CRAFT COHORT</t>
        </is>
      </c>
      <c r="C33" s="5" t="inlineStr">
        <is>
          <t>Build a working agentic system and develop the reasoning behind it. Explore The Living Craft’s October 2026 cohort: 30 live hours with Sunil Mathew, plus independent work.</t>
        </is>
      </c>
    </row>
    <row r="34">
      <c r="C34" s="12" t="inlineStr">
        <is>
          <t>Apply at https://learning.thelivingcraft.ai/#apply</t>
        </is>
      </c>
    </row>
  </sheetData>
  <sheetProtection selectLockedCells="0" selectUnlockedCells="0" sheet="1" objects="0" insertRows="1" insertHyperlinks="1" autoFilter="1" scenarios="0" formatColumns="0" deleteColumns="1" insertColumns="1" pivotTables="1" deleteRows="1" formatCells="1" formatRows="0" sort="1"/>
  <mergeCells count="12">
    <mergeCell ref="C20:D20"/>
    <mergeCell ref="C34:D34"/>
    <mergeCell ref="B5:D5"/>
    <mergeCell ref="C7:D7"/>
    <mergeCell ref="C21:D21"/>
    <mergeCell ref="B31:D31"/>
    <mergeCell ref="C33:D33"/>
    <mergeCell ref="C11:D11"/>
    <mergeCell ref="C22:D22"/>
    <mergeCell ref="B30:D30"/>
    <mergeCell ref="C9:D9"/>
    <mergeCell ref="C23:D23"/>
  </mergeCells>
  <hyperlinks>
    <hyperlink xmlns:r="http://schemas.openxmlformats.org/officeDocument/2006/relationships" ref="C34" r:id="rId1"/>
  </hyperlinks>
  <printOptions horizontalCentered="1"/>
  <pageMargins left="0.75" right="0.75" top="1" bottom="1" header="0.5" footer="0.5"/>
  <pageSetup orientation="landscape" paperSize="9" fitToHeight="0" fitToWidth="1"/>
  <drawing xmlns:r="http://schemas.openxmlformats.org/officeDocument/2006/relationships" r:id="rId2"/>
</worksheet>
</file>

<file path=xl/worksheets/sheet2.xml><?xml version="1.0" encoding="utf-8"?>
<worksheet xmlns="http://schemas.openxmlformats.org/spreadsheetml/2006/main">
  <sheetPr>
    <tabColor rgb="00183D32"/>
    <outlinePr summaryBelow="1" summaryRight="1"/>
    <pageSetUpPr fitToPage="1"/>
  </sheetPr>
  <dimension ref="A1:Z38"/>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32" customWidth="1" min="3" max="3"/>
    <col width="14" customWidth="1" min="4" max="4"/>
    <col width="13" customWidth="1" min="5" max="5"/>
    <col width="24" customWidth="1" min="6" max="6"/>
    <col width="16" customWidth="1" min="7" max="7"/>
    <col width="14" customWidth="1" min="8" max="8"/>
    <col width="17" customWidth="1" min="9" max="9"/>
    <col width="17" customWidth="1" min="10" max="10"/>
    <col width="17" customWidth="1" min="11" max="11"/>
    <col width="12" customWidth="1" min="12" max="12"/>
    <col width="32" customWidth="1" min="13" max="13"/>
    <col hidden="1" width="13" customWidth="1" min="25" max="25"/>
    <col hidden="1" width="13" customWidth="1" min="26" max="26"/>
  </cols>
  <sheetData>
    <row r="1" ht="28" customHeight="1">
      <c r="A1" s="18" t="inlineStr">
        <is>
          <t>1 · Gate Inventory</t>
        </is>
      </c>
      <c r="Z1" s="14" t="inlineStr">
        <is>
          <t>Regression</t>
        </is>
      </c>
    </row>
    <row r="2" ht="20" customHeight="1">
      <c r="A2" s="3" t="inlineStr">
        <is>
          <t>Which route does each gate case need?</t>
        </is>
      </c>
      <c r="Z2" s="14" t="inlineStr">
        <is>
          <t>Capability</t>
        </is>
      </c>
    </row>
    <row r="3" ht="28" customHeight="1">
      <c r="A3" s="19" t="inlineStr">
        <is>
          <t>One row per gate case or eval suite. Columns D to G suggest a route. Leave “Route chosen” blank to accept the suggestion, or pick another and write down why.</t>
        </is>
      </c>
    </row>
    <row r="4">
      <c r="Z4" s="14" t="inlineStr">
        <is>
          <t>Low</t>
        </is>
      </c>
    </row>
    <row r="5" ht="46" customHeight="1">
      <c r="A5" s="6" t="inlineStr">
        <is>
          <t>#</t>
        </is>
      </c>
      <c r="B5" s="6" t="inlineStr">
        <is>
          <t>Case or suite</t>
        </is>
      </c>
      <c r="C5" s="6" t="inlineStr">
        <is>
          <t>What it checks</t>
        </is>
      </c>
      <c r="D5" s="6" t="inlineStr">
        <is>
          <t>Purpose</t>
        </is>
      </c>
      <c r="E5" s="6" t="inlineStr">
        <is>
          <t>Severity if it ships broken</t>
        </is>
      </c>
      <c r="F5" s="6" t="inlineStr">
        <is>
          <t>Who acts on the output</t>
        </is>
      </c>
      <c r="G5" s="6" t="inlineStr">
        <is>
          <t>Can a check decide it unambiguously?</t>
        </is>
      </c>
      <c r="H5" s="6" t="inlineStr">
        <is>
          <t>Deterministic?</t>
        </is>
      </c>
      <c r="I5" s="6" t="inlineStr">
        <is>
          <t>Suggested route</t>
        </is>
      </c>
      <c r="J5" s="6" t="inlineStr">
        <is>
          <t>Route chosen</t>
        </is>
      </c>
      <c r="K5" s="6" t="inlineStr">
        <is>
          <t>Final route</t>
        </is>
      </c>
      <c r="L5" s="6" t="inlineStr">
        <is>
          <t>Differs from suggestion?</t>
        </is>
      </c>
      <c r="M5" s="6" t="inlineStr">
        <is>
          <t>Reason for the difference</t>
        </is>
      </c>
      <c r="Z5" s="14" t="inlineStr">
        <is>
          <t>Medium</t>
        </is>
      </c>
    </row>
    <row r="6" ht="30" customHeight="1">
      <c r="A6" s="20" t="n">
        <v>1</v>
      </c>
      <c r="B6" s="21" t="n"/>
      <c r="C6" s="21" t="n"/>
      <c r="D6" s="22" t="n"/>
      <c r="E6" s="22" t="n"/>
      <c r="F6" s="21" t="n"/>
      <c r="G6" s="22" t="n"/>
      <c r="H6" s="22" t="n"/>
      <c r="I6" s="23">
        <f>IF(OR(B6="",D6="",E6="",F6="",G6=""),"",IF(D6="Capability","Track",IF(F6="Another system with its own pipeline","Check downstream",IF(E6="Low","Track",IF(G6="No","Human decides","Block")))))</f>
        <v/>
      </c>
      <c r="J6" s="22" t="n"/>
      <c r="K6" s="23">
        <f>IF(J6&lt;&gt;"",J6,I6)</f>
        <v/>
      </c>
      <c r="L6" s="23">
        <f>IF(AND(J6&lt;&gt;"",J6&lt;&gt;I6),"Yes","")</f>
        <v/>
      </c>
      <c r="M6" s="21" t="n"/>
      <c r="Z6" s="14" t="inlineStr">
        <is>
          <t>High</t>
        </is>
      </c>
    </row>
    <row r="7" ht="30" customHeight="1">
      <c r="A7" s="20" t="n">
        <v>2</v>
      </c>
      <c r="B7" s="21" t="n"/>
      <c r="C7" s="21" t="n"/>
      <c r="D7" s="22" t="n"/>
      <c r="E7" s="22" t="n"/>
      <c r="F7" s="21" t="n"/>
      <c r="G7" s="22" t="n"/>
      <c r="H7" s="22" t="n"/>
      <c r="I7" s="23">
        <f>IF(OR(B7="",D7="",E7="",F7="",G7=""),"",IF(D7="Capability","Track",IF(F7="Another system with its own pipeline","Check downstream",IF(E7="Low","Track",IF(G7="No","Human decides","Block")))))</f>
        <v/>
      </c>
      <c r="J7" s="22" t="n"/>
      <c r="K7" s="23">
        <f>IF(J7&lt;&gt;"",J7,I7)</f>
        <v/>
      </c>
      <c r="L7" s="23">
        <f>IF(AND(J7&lt;&gt;"",J7&lt;&gt;I7),"Yes","")</f>
        <v/>
      </c>
      <c r="M7" s="21" t="n"/>
      <c r="Z7" s="14" t="inlineStr">
        <is>
          <t>Critical</t>
        </is>
      </c>
    </row>
    <row r="8" ht="30" customHeight="1">
      <c r="A8" s="20" t="n">
        <v>3</v>
      </c>
      <c r="B8" s="21" t="n"/>
      <c r="C8" s="21" t="n"/>
      <c r="D8" s="22" t="n"/>
      <c r="E8" s="22" t="n"/>
      <c r="F8" s="21" t="n"/>
      <c r="G8" s="22" t="n"/>
      <c r="H8" s="22" t="n"/>
      <c r="I8" s="23">
        <f>IF(OR(B8="",D8="",E8="",F8="",G8=""),"",IF(D8="Capability","Track",IF(F8="Another system with its own pipeline","Check downstream",IF(E8="Low","Track",IF(G8="No","Human decides","Block")))))</f>
        <v/>
      </c>
      <c r="J8" s="22" t="n"/>
      <c r="K8" s="23">
        <f>IF(J8&lt;&gt;"",J8,I8)</f>
        <v/>
      </c>
      <c r="L8" s="23">
        <f>IF(AND(J8&lt;&gt;"",J8&lt;&gt;I8),"Yes","")</f>
        <v/>
      </c>
      <c r="M8" s="21" t="n"/>
    </row>
    <row r="9" ht="30" customHeight="1">
      <c r="A9" s="20" t="n">
        <v>4</v>
      </c>
      <c r="B9" s="21" t="n"/>
      <c r="C9" s="21" t="n"/>
      <c r="D9" s="22" t="n"/>
      <c r="E9" s="22" t="n"/>
      <c r="F9" s="21" t="n"/>
      <c r="G9" s="22" t="n"/>
      <c r="H9" s="22" t="n"/>
      <c r="I9" s="23">
        <f>IF(OR(B9="",D9="",E9="",F9="",G9=""),"",IF(D9="Capability","Track",IF(F9="Another system with its own pipeline","Check downstream",IF(E9="Low","Track",IF(G9="No","Human decides","Block")))))</f>
        <v/>
      </c>
      <c r="J9" s="22" t="n"/>
      <c r="K9" s="23">
        <f>IF(J9&lt;&gt;"",J9,I9)</f>
        <v/>
      </c>
      <c r="L9" s="23">
        <f>IF(AND(J9&lt;&gt;"",J9&lt;&gt;I9),"Yes","")</f>
        <v/>
      </c>
      <c r="M9" s="21" t="n"/>
      <c r="Z9" s="14" t="inlineStr">
        <is>
          <t>User directly</t>
        </is>
      </c>
    </row>
    <row r="10" ht="30" customHeight="1">
      <c r="A10" s="20" t="n">
        <v>5</v>
      </c>
      <c r="B10" s="21" t="n"/>
      <c r="C10" s="21" t="n"/>
      <c r="D10" s="22" t="n"/>
      <c r="E10" s="22" t="n"/>
      <c r="F10" s="21" t="n"/>
      <c r="G10" s="22" t="n"/>
      <c r="H10" s="22" t="n"/>
      <c r="I10" s="23">
        <f>IF(OR(B10="",D10="",E10="",F10="",G10=""),"",IF(D10="Capability","Track",IF(F10="Another system with its own pipeline","Check downstream",IF(E10="Low","Track",IF(G10="No","Human decides","Block")))))</f>
        <v/>
      </c>
      <c r="J10" s="22" t="n"/>
      <c r="K10" s="23">
        <f>IF(J10&lt;&gt;"",J10,I10)</f>
        <v/>
      </c>
      <c r="L10" s="23">
        <f>IF(AND(J10&lt;&gt;"",J10&lt;&gt;I10),"Yes","")</f>
        <v/>
      </c>
      <c r="M10" s="21" t="n"/>
      <c r="Z10" s="14" t="inlineStr">
        <is>
          <t>Another system in our pipeline</t>
        </is>
      </c>
    </row>
    <row r="11" ht="30" customHeight="1">
      <c r="A11" s="20" t="n">
        <v>6</v>
      </c>
      <c r="B11" s="21" t="n"/>
      <c r="C11" s="21" t="n"/>
      <c r="D11" s="22" t="n"/>
      <c r="E11" s="22" t="n"/>
      <c r="F11" s="21" t="n"/>
      <c r="G11" s="22" t="n"/>
      <c r="H11" s="22" t="n"/>
      <c r="I11" s="23">
        <f>IF(OR(B11="",D11="",E11="",F11="",G11=""),"",IF(D11="Capability","Track",IF(F11="Another system with its own pipeline","Check downstream",IF(E11="Low","Track",IF(G11="No","Human decides","Block")))))</f>
        <v/>
      </c>
      <c r="J11" s="22" t="n"/>
      <c r="K11" s="23">
        <f>IF(J11&lt;&gt;"",J11,I11)</f>
        <v/>
      </c>
      <c r="L11" s="23">
        <f>IF(AND(J11&lt;&gt;"",J11&lt;&gt;I11),"Yes","")</f>
        <v/>
      </c>
      <c r="M11" s="21" t="n"/>
      <c r="Z11" s="14" t="inlineStr">
        <is>
          <t>Another system with its own pipeline</t>
        </is>
      </c>
    </row>
    <row r="12" ht="30" customHeight="1">
      <c r="A12" s="20" t="n">
        <v>7</v>
      </c>
      <c r="B12" s="21" t="n"/>
      <c r="C12" s="21" t="n"/>
      <c r="D12" s="22" t="n"/>
      <c r="E12" s="22" t="n"/>
      <c r="F12" s="21" t="n"/>
      <c r="G12" s="22" t="n"/>
      <c r="H12" s="22" t="n"/>
      <c r="I12" s="23">
        <f>IF(OR(B12="",D12="",E12="",F12="",G12=""),"",IF(D12="Capability","Track",IF(F12="Another system with its own pipeline","Check downstream",IF(E12="Low","Track",IF(G12="No","Human decides","Block")))))</f>
        <v/>
      </c>
      <c r="J12" s="22" t="n"/>
      <c r="K12" s="23">
        <f>IF(J12&lt;&gt;"",J12,I12)</f>
        <v/>
      </c>
      <c r="L12" s="23">
        <f>IF(AND(J12&lt;&gt;"",J12&lt;&gt;I12),"Yes","")</f>
        <v/>
      </c>
      <c r="M12" s="21" t="n"/>
    </row>
    <row r="13" ht="30" customHeight="1">
      <c r="A13" s="20" t="n">
        <v>8</v>
      </c>
      <c r="B13" s="21" t="n"/>
      <c r="C13" s="21" t="n"/>
      <c r="D13" s="22" t="n"/>
      <c r="E13" s="22" t="n"/>
      <c r="F13" s="21" t="n"/>
      <c r="G13" s="22" t="n"/>
      <c r="H13" s="22" t="n"/>
      <c r="I13" s="23">
        <f>IF(OR(B13="",D13="",E13="",F13="",G13=""),"",IF(D13="Capability","Track",IF(F13="Another system with its own pipeline","Check downstream",IF(E13="Low","Track",IF(G13="No","Human decides","Block")))))</f>
        <v/>
      </c>
      <c r="J13" s="22" t="n"/>
      <c r="K13" s="23">
        <f>IF(J13&lt;&gt;"",J13,I13)</f>
        <v/>
      </c>
      <c r="L13" s="23">
        <f>IF(AND(J13&lt;&gt;"",J13&lt;&gt;I13),"Yes","")</f>
        <v/>
      </c>
      <c r="M13" s="21" t="n"/>
      <c r="Z13" s="14" t="inlineStr">
        <is>
          <t>Yes</t>
        </is>
      </c>
    </row>
    <row r="14" ht="30" customHeight="1">
      <c r="A14" s="20" t="n">
        <v>9</v>
      </c>
      <c r="B14" s="21" t="n"/>
      <c r="C14" s="21" t="n"/>
      <c r="D14" s="22" t="n"/>
      <c r="E14" s="22" t="n"/>
      <c r="F14" s="21" t="n"/>
      <c r="G14" s="22" t="n"/>
      <c r="H14" s="22" t="n"/>
      <c r="I14" s="23">
        <f>IF(OR(B14="",D14="",E14="",F14="",G14=""),"",IF(D14="Capability","Track",IF(F14="Another system with its own pipeline","Check downstream",IF(E14="Low","Track",IF(G14="No","Human decides","Block")))))</f>
        <v/>
      </c>
      <c r="J14" s="22" t="n"/>
      <c r="K14" s="23">
        <f>IF(J14&lt;&gt;"",J14,I14)</f>
        <v/>
      </c>
      <c r="L14" s="23">
        <f>IF(AND(J14&lt;&gt;"",J14&lt;&gt;I14),"Yes","")</f>
        <v/>
      </c>
      <c r="M14" s="21" t="n"/>
      <c r="Z14" s="14" t="inlineStr">
        <is>
          <t>No</t>
        </is>
      </c>
    </row>
    <row r="15" ht="30" customHeight="1">
      <c r="A15" s="20" t="n">
        <v>10</v>
      </c>
      <c r="B15" s="21" t="n"/>
      <c r="C15" s="21" t="n"/>
      <c r="D15" s="22" t="n"/>
      <c r="E15" s="22" t="n"/>
      <c r="F15" s="21" t="n"/>
      <c r="G15" s="22" t="n"/>
      <c r="H15" s="22" t="n"/>
      <c r="I15" s="23">
        <f>IF(OR(B15="",D15="",E15="",F15="",G15=""),"",IF(D15="Capability","Track",IF(F15="Another system with its own pipeline","Check downstream",IF(E15="Low","Track",IF(G15="No","Human decides","Block")))))</f>
        <v/>
      </c>
      <c r="J15" s="22" t="n"/>
      <c r="K15" s="23">
        <f>IF(J15&lt;&gt;"",J15,I15)</f>
        <v/>
      </c>
      <c r="L15" s="23">
        <f>IF(AND(J15&lt;&gt;"",J15&lt;&gt;I15),"Yes","")</f>
        <v/>
      </c>
      <c r="M15" s="21" t="n"/>
    </row>
    <row r="16" ht="30" customHeight="1">
      <c r="A16" s="20" t="n">
        <v>11</v>
      </c>
      <c r="B16" s="21" t="n"/>
      <c r="C16" s="21" t="n"/>
      <c r="D16" s="22" t="n"/>
      <c r="E16" s="22" t="n"/>
      <c r="F16" s="21" t="n"/>
      <c r="G16" s="22" t="n"/>
      <c r="H16" s="22" t="n"/>
      <c r="I16" s="23">
        <f>IF(OR(B16="",D16="",E16="",F16="",G16=""),"",IF(D16="Capability","Track",IF(F16="Another system with its own pipeline","Check downstream",IF(E16="Low","Track",IF(G16="No","Human decides","Block")))))</f>
        <v/>
      </c>
      <c r="J16" s="22" t="n"/>
      <c r="K16" s="23">
        <f>IF(J16&lt;&gt;"",J16,I16)</f>
        <v/>
      </c>
      <c r="L16" s="23">
        <f>IF(AND(J16&lt;&gt;"",J16&lt;&gt;I16),"Yes","")</f>
        <v/>
      </c>
      <c r="M16" s="21" t="n"/>
      <c r="Z16" s="14" t="inlineStr">
        <is>
          <t>Block</t>
        </is>
      </c>
    </row>
    <row r="17" ht="30" customHeight="1">
      <c r="A17" s="20" t="n">
        <v>12</v>
      </c>
      <c r="B17" s="21" t="n"/>
      <c r="C17" s="21" t="n"/>
      <c r="D17" s="22" t="n"/>
      <c r="E17" s="22" t="n"/>
      <c r="F17" s="21" t="n"/>
      <c r="G17" s="22" t="n"/>
      <c r="H17" s="22" t="n"/>
      <c r="I17" s="23">
        <f>IF(OR(B17="",D17="",E17="",F17="",G17=""),"",IF(D17="Capability","Track",IF(F17="Another system with its own pipeline","Check downstream",IF(E17="Low","Track",IF(G17="No","Human decides","Block")))))</f>
        <v/>
      </c>
      <c r="J17" s="22" t="n"/>
      <c r="K17" s="23">
        <f>IF(J17&lt;&gt;"",J17,I17)</f>
        <v/>
      </c>
      <c r="L17" s="23">
        <f>IF(AND(J17&lt;&gt;"",J17&lt;&gt;I17),"Yes","")</f>
        <v/>
      </c>
      <c r="M17" s="21" t="n"/>
      <c r="Z17" s="14" t="inlineStr">
        <is>
          <t>Human decides</t>
        </is>
      </c>
    </row>
    <row r="18" ht="30" customHeight="1">
      <c r="A18" s="20" t="n">
        <v>13</v>
      </c>
      <c r="B18" s="21" t="n"/>
      <c r="C18" s="21" t="n"/>
      <c r="D18" s="22" t="n"/>
      <c r="E18" s="22" t="n"/>
      <c r="F18" s="21" t="n"/>
      <c r="G18" s="22" t="n"/>
      <c r="H18" s="22" t="n"/>
      <c r="I18" s="23">
        <f>IF(OR(B18="",D18="",E18="",F18="",G18=""),"",IF(D18="Capability","Track",IF(F18="Another system with its own pipeline","Check downstream",IF(E18="Low","Track",IF(G18="No","Human decides","Block")))))</f>
        <v/>
      </c>
      <c r="J18" s="22" t="n"/>
      <c r="K18" s="23">
        <f>IF(J18&lt;&gt;"",J18,I18)</f>
        <v/>
      </c>
      <c r="L18" s="23">
        <f>IF(AND(J18&lt;&gt;"",J18&lt;&gt;I18),"Yes","")</f>
        <v/>
      </c>
      <c r="M18" s="21" t="n"/>
      <c r="Z18" s="14" t="inlineStr">
        <is>
          <t>Check downstream</t>
        </is>
      </c>
    </row>
    <row r="19" ht="30" customHeight="1">
      <c r="A19" s="20" t="n">
        <v>14</v>
      </c>
      <c r="B19" s="21" t="n"/>
      <c r="C19" s="21" t="n"/>
      <c r="D19" s="22" t="n"/>
      <c r="E19" s="22" t="n"/>
      <c r="F19" s="21" t="n"/>
      <c r="G19" s="22" t="n"/>
      <c r="H19" s="22" t="n"/>
      <c r="I19" s="23">
        <f>IF(OR(B19="",D19="",E19="",F19="",G19=""),"",IF(D19="Capability","Track",IF(F19="Another system with its own pipeline","Check downstream",IF(E19="Low","Track",IF(G19="No","Human decides","Block")))))</f>
        <v/>
      </c>
      <c r="J19" s="22" t="n"/>
      <c r="K19" s="23">
        <f>IF(J19&lt;&gt;"",J19,I19)</f>
        <v/>
      </c>
      <c r="L19" s="23">
        <f>IF(AND(J19&lt;&gt;"",J19&lt;&gt;I19),"Yes","")</f>
        <v/>
      </c>
      <c r="M19" s="21" t="n"/>
      <c r="Z19" s="14" t="inlineStr">
        <is>
          <t>Track</t>
        </is>
      </c>
    </row>
    <row r="20" ht="30" customHeight="1">
      <c r="A20" s="20" t="n">
        <v>15</v>
      </c>
      <c r="B20" s="21" t="n"/>
      <c r="C20" s="21" t="n"/>
      <c r="D20" s="22" t="n"/>
      <c r="E20" s="22" t="n"/>
      <c r="F20" s="21" t="n"/>
      <c r="G20" s="22" t="n"/>
      <c r="H20" s="22" t="n"/>
      <c r="I20" s="23">
        <f>IF(OR(B20="",D20="",E20="",F20="",G20=""),"",IF(D20="Capability","Track",IF(F20="Another system with its own pipeline","Check downstream",IF(E20="Low","Track",IF(G20="No","Human decides","Block")))))</f>
        <v/>
      </c>
      <c r="J20" s="22" t="n"/>
      <c r="K20" s="23">
        <f>IF(J20&lt;&gt;"",J20,I20)</f>
        <v/>
      </c>
      <c r="L20" s="23">
        <f>IF(AND(J20&lt;&gt;"",J20&lt;&gt;I20),"Yes","")</f>
        <v/>
      </c>
      <c r="M20" s="21" t="n"/>
    </row>
    <row r="21" ht="30" customHeight="1">
      <c r="A21" s="20" t="n">
        <v>16</v>
      </c>
      <c r="B21" s="21" t="n"/>
      <c r="C21" s="21" t="n"/>
      <c r="D21" s="22" t="n"/>
      <c r="E21" s="22" t="n"/>
      <c r="F21" s="21" t="n"/>
      <c r="G21" s="22" t="n"/>
      <c r="H21" s="22" t="n"/>
      <c r="I21" s="23">
        <f>IF(OR(B21="",D21="",E21="",F21="",G21=""),"",IF(D21="Capability","Track",IF(F21="Another system with its own pipeline","Check downstream",IF(E21="Low","Track",IF(G21="No","Human decides","Block")))))</f>
        <v/>
      </c>
      <c r="J21" s="22" t="n"/>
      <c r="K21" s="23">
        <f>IF(J21&lt;&gt;"",J21,I21)</f>
        <v/>
      </c>
      <c r="L21" s="23">
        <f>IF(AND(J21&lt;&gt;"",J21&lt;&gt;I21),"Yes","")</f>
        <v/>
      </c>
      <c r="M21" s="21" t="n"/>
    </row>
    <row r="22" ht="30" customHeight="1">
      <c r="A22" s="20" t="n">
        <v>17</v>
      </c>
      <c r="B22" s="21" t="n"/>
      <c r="C22" s="21" t="n"/>
      <c r="D22" s="22" t="n"/>
      <c r="E22" s="22" t="n"/>
      <c r="F22" s="21" t="n"/>
      <c r="G22" s="22" t="n"/>
      <c r="H22" s="22" t="n"/>
      <c r="I22" s="23">
        <f>IF(OR(B22="",D22="",E22="",F22="",G22=""),"",IF(D22="Capability","Track",IF(F22="Another system with its own pipeline","Check downstream",IF(E22="Low","Track",IF(G22="No","Human decides","Block")))))</f>
        <v/>
      </c>
      <c r="J22" s="22" t="n"/>
      <c r="K22" s="23">
        <f>IF(J22&lt;&gt;"",J22,I22)</f>
        <v/>
      </c>
      <c r="L22" s="23">
        <f>IF(AND(J22&lt;&gt;"",J22&lt;&gt;I22),"Yes","")</f>
        <v/>
      </c>
      <c r="M22" s="21" t="n"/>
    </row>
    <row r="23" ht="30" customHeight="1">
      <c r="A23" s="20" t="n">
        <v>18</v>
      </c>
      <c r="B23" s="21" t="n"/>
      <c r="C23" s="21" t="n"/>
      <c r="D23" s="22" t="n"/>
      <c r="E23" s="22" t="n"/>
      <c r="F23" s="21" t="n"/>
      <c r="G23" s="22" t="n"/>
      <c r="H23" s="22" t="n"/>
      <c r="I23" s="23">
        <f>IF(OR(B23="",D23="",E23="",F23="",G23=""),"",IF(D23="Capability","Track",IF(F23="Another system with its own pipeline","Check downstream",IF(E23="Low","Track",IF(G23="No","Human decides","Block")))))</f>
        <v/>
      </c>
      <c r="J23" s="22" t="n"/>
      <c r="K23" s="23">
        <f>IF(J23&lt;&gt;"",J23,I23)</f>
        <v/>
      </c>
      <c r="L23" s="23">
        <f>IF(AND(J23&lt;&gt;"",J23&lt;&gt;I23),"Yes","")</f>
        <v/>
      </c>
      <c r="M23" s="21" t="n"/>
    </row>
    <row r="24" ht="30" customHeight="1">
      <c r="A24" s="20" t="n">
        <v>19</v>
      </c>
      <c r="B24" s="21" t="n"/>
      <c r="C24" s="21" t="n"/>
      <c r="D24" s="22" t="n"/>
      <c r="E24" s="22" t="n"/>
      <c r="F24" s="21" t="n"/>
      <c r="G24" s="22" t="n"/>
      <c r="H24" s="22" t="n"/>
      <c r="I24" s="23">
        <f>IF(OR(B24="",D24="",E24="",F24="",G24=""),"",IF(D24="Capability","Track",IF(F24="Another system with its own pipeline","Check downstream",IF(E24="Low","Track",IF(G24="No","Human decides","Block")))))</f>
        <v/>
      </c>
      <c r="J24" s="22" t="n"/>
      <c r="K24" s="23">
        <f>IF(J24&lt;&gt;"",J24,I24)</f>
        <v/>
      </c>
      <c r="L24" s="23">
        <f>IF(AND(J24&lt;&gt;"",J24&lt;&gt;I24),"Yes","")</f>
        <v/>
      </c>
      <c r="M24" s="21" t="n"/>
    </row>
    <row r="25" ht="30" customHeight="1">
      <c r="A25" s="20" t="n">
        <v>20</v>
      </c>
      <c r="B25" s="21" t="n"/>
      <c r="C25" s="21" t="n"/>
      <c r="D25" s="22" t="n"/>
      <c r="E25" s="22" t="n"/>
      <c r="F25" s="21" t="n"/>
      <c r="G25" s="22" t="n"/>
      <c r="H25" s="22" t="n"/>
      <c r="I25" s="23">
        <f>IF(OR(B25="",D25="",E25="",F25="",G25=""),"",IF(D25="Capability","Track",IF(F25="Another system with its own pipeline","Check downstream",IF(E25="Low","Track",IF(G25="No","Human decides","Block")))))</f>
        <v/>
      </c>
      <c r="J25" s="22" t="n"/>
      <c r="K25" s="23">
        <f>IF(J25&lt;&gt;"",J25,I25)</f>
        <v/>
      </c>
      <c r="L25" s="23">
        <f>IF(AND(J25&lt;&gt;"",J25&lt;&gt;I25),"Yes","")</f>
        <v/>
      </c>
      <c r="M25" s="21" t="n"/>
    </row>
    <row r="27" ht="26" customHeight="1">
      <c r="A27" s="24" t="inlineStr">
        <is>
          <t>Summary</t>
        </is>
      </c>
    </row>
    <row r="28" ht="24" customHeight="1">
      <c r="A28" s="13" t="inlineStr">
        <is>
          <t>Cases listed</t>
        </is>
      </c>
      <c r="C28" s="25">
        <f>COUNTA(B6:B25)</f>
        <v/>
      </c>
    </row>
    <row r="30">
      <c r="A30" s="26" t="inlineStr">
        <is>
          <t>CASES BY ROUTE</t>
        </is>
      </c>
      <c r="B30" s="26" t="n"/>
      <c r="C30" s="27" t="inlineStr">
        <is>
          <t>Final</t>
        </is>
      </c>
      <c r="D30" s="27" t="inlineStr">
        <is>
          <t>Suggested</t>
        </is>
      </c>
    </row>
    <row r="31" ht="22" customHeight="1">
      <c r="B31" s="28" t="inlineStr">
        <is>
          <t>Block</t>
        </is>
      </c>
      <c r="C31" s="29">
        <f>COUNTIF(K6:K25,"Block")</f>
        <v/>
      </c>
      <c r="D31" s="30">
        <f>COUNTIF(I6:I25,"Block")</f>
        <v/>
      </c>
    </row>
    <row r="32" ht="22" customHeight="1">
      <c r="B32" s="31" t="inlineStr">
        <is>
          <t>Human decides</t>
        </is>
      </c>
      <c r="C32" s="29">
        <f>COUNTIF(K6:K25,"Human decides")</f>
        <v/>
      </c>
      <c r="D32" s="30">
        <f>COUNTIF(I6:I25,"Human decides")</f>
        <v/>
      </c>
    </row>
    <row r="33" ht="22" customHeight="1">
      <c r="B33" s="32" t="inlineStr">
        <is>
          <t>Check downstream</t>
        </is>
      </c>
      <c r="C33" s="29">
        <f>COUNTIF(K6:K25,"Check downstream")</f>
        <v/>
      </c>
      <c r="D33" s="30">
        <f>COUNTIF(I6:I25,"Check downstream")</f>
        <v/>
      </c>
    </row>
    <row r="34" ht="22" customHeight="1">
      <c r="B34" s="33" t="inlineStr">
        <is>
          <t>Track</t>
        </is>
      </c>
      <c r="C34" s="29">
        <f>COUNTIF(K6:K25,"Track")</f>
        <v/>
      </c>
      <c r="D34" s="30">
        <f>COUNTIF(I6:I25,"Track")</f>
        <v/>
      </c>
    </row>
    <row r="36" ht="24" customHeight="1">
      <c r="A36" s="13" t="inlineStr">
        <is>
          <t>Unrouted cases</t>
        </is>
      </c>
      <c r="C36" s="25">
        <f>SUMPRODUCT((B6:B25&lt;&gt;"")*(K6:K25=""))</f>
        <v/>
      </c>
      <c r="D36" s="19" t="inlineStr">
        <is>
          <t>Cases with a name and no route. Fill in D to G, or pick a route.</t>
        </is>
      </c>
    </row>
    <row r="37" ht="24" customHeight="1">
      <c r="A37" s="13" t="inlineStr">
        <is>
          <t>Overrides</t>
        </is>
      </c>
      <c r="C37" s="25">
        <f>COUNTIF(L6:L25,"Yes")</f>
        <v/>
      </c>
      <c r="D37" s="19" t="inlineStr">
        <is>
          <t>Cases where the route chosen differs from the suggestion.</t>
        </is>
      </c>
    </row>
    <row r="38" ht="24" customHeight="1">
      <c r="A38" s="13" t="inlineStr">
        <is>
          <t>Overrides with no reason</t>
        </is>
      </c>
      <c r="C38" s="25">
        <f>SUMPRODUCT((L6:L25="Yes")*(M6:M25=""))</f>
        <v/>
      </c>
      <c r="D38" s="19" t="inlineStr">
        <is>
          <t>Write the reason in column M.</t>
        </is>
      </c>
    </row>
  </sheetData>
  <sheetProtection selectLockedCells="0" selectUnlockedCells="0" sheet="1" objects="0" insertRows="1" insertHyperlinks="1" autoFilter="1" scenarios="0" formatColumns="0" deleteColumns="1" insertColumns="1" pivotTables="1" deleteRows="1" formatCells="1" formatRows="0" sort="1"/>
  <mergeCells count="9">
    <mergeCell ref="D37:M37"/>
    <mergeCell ref="A38:B38"/>
    <mergeCell ref="D36:M36"/>
    <mergeCell ref="A28:B28"/>
    <mergeCell ref="A37:B37"/>
    <mergeCell ref="A36:B36"/>
    <mergeCell ref="A3:M3"/>
    <mergeCell ref="A2:M2"/>
    <mergeCell ref="D38:M38"/>
  </mergeCells>
  <conditionalFormatting sqref="I6:I25">
    <cfRule type="expression" priority="1" dxfId="0">
      <formula>I6="Block"</formula>
    </cfRule>
    <cfRule type="expression" priority="2" dxfId="1">
      <formula>I6="Human decides"</formula>
    </cfRule>
    <cfRule type="expression" priority="3" dxfId="2">
      <formula>I6="Check downstream"</formula>
    </cfRule>
    <cfRule type="expression" priority="4" dxfId="3">
      <formula>I6="Track"</formula>
    </cfRule>
  </conditionalFormatting>
  <conditionalFormatting sqref="K6:K25">
    <cfRule type="expression" priority="5" dxfId="0">
      <formula>K6="Block"</formula>
    </cfRule>
    <cfRule type="expression" priority="6" dxfId="1">
      <formula>K6="Human decides"</formula>
    </cfRule>
    <cfRule type="expression" priority="7" dxfId="2">
      <formula>K6="Check downstream"</formula>
    </cfRule>
    <cfRule type="expression" priority="8" dxfId="3">
      <formula>K6="Track"</formula>
    </cfRule>
  </conditionalFormatting>
  <conditionalFormatting sqref="C36">
    <cfRule type="expression" priority="9" dxfId="4">
      <formula>C36&gt;0</formula>
    </cfRule>
  </conditionalFormatting>
  <conditionalFormatting sqref="C38">
    <cfRule type="expression" priority="10" dxfId="4">
      <formula>C38&gt;0</formula>
    </cfRule>
  </conditionalFormatting>
  <dataValidations count="5">
    <dataValidation sqref="D6 D7 D8 D9 D10 D11 D12 D13 D14 D15 D16 D17 D18 D19 D20 D21 D22 D23 D24 D25" showDropDown="0" showInputMessage="0" showErrorMessage="0" allowBlank="1" errorTitle="Not an option" error="Pick one of the options in the list." type="list">
      <formula1>$Z$1:$Z$2</formula1>
    </dataValidation>
    <dataValidation sqref="E6 E7 E8 E9 E10 E11 E12 E13 E14 E15 E16 E17 E18 E19 E20 E21 E22 E23 E24 E25" showDropDown="0" showInputMessage="0" showErrorMessage="0" allowBlank="1" errorTitle="Not an option" error="Pick one of the options in the list." type="list">
      <formula1>$Z$4:$Z$7</formula1>
    </dataValidation>
    <dataValidation sqref="F6 F7 F8 F9 F10 F11 F12 F13 F14 F15 F16 F17 F18 F19 F20 F21 F22 F23 F24 F25" showDropDown="0" showInputMessage="0" showErrorMessage="0" allowBlank="1" errorTitle="Not an option" error="Pick one of the options in the list." type="list">
      <formula1>$Z$9:$Z$11</formula1>
    </dataValidation>
    <dataValidation sqref="G6 G7 G8 G9 G10 G11 G12 G13 G14 G15 G16 G17 G18 G19 G20 G21 G22 G23 G24 G25 H6 H7 H8 H9 H10 H11 H12 H13 H14 H15 H16 H17 H18 H19 H20 H21 H22 H23 H24 H25" showDropDown="0" showInputMessage="0" showErrorMessage="0" allowBlank="1" errorTitle="Not an option" error="Pick one of the options in the list." type="list">
      <formula1>$Z$13:$Z$14</formula1>
    </dataValidation>
    <dataValidation sqref="J6 J7 J8 J9 J10 J11 J12 J13 J14 J15 J16 J17 J18 J19 J20 J21 J22 J23 J24 J25" showDropDown="0" showInputMessage="0" showErrorMessage="0" allowBlank="1" errorTitle="Not an option" error="Pick one of the options in the list." type="list">
      <formula1>$Z$16:$Z$19</formula1>
    </dataValidation>
  </dataValidations>
  <printOptions horizontalCentered="1"/>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183D32"/>
    <outlinePr summaryBelow="1" summaryRight="1"/>
    <pageSetUpPr fitToPage="1"/>
  </sheetPr>
  <dimension ref="A1:Z41"/>
  <sheetViews>
    <sheetView workbookViewId="0">
      <pane ySplit="8" topLeftCell="A9" activePane="bottomLeft" state="frozen"/>
      <selection pane="bottomLeft" activeCell="A1" sqref="A1"/>
    </sheetView>
  </sheetViews>
  <sheetFormatPr baseColWidth="8" defaultRowHeight="15"/>
  <cols>
    <col width="5" customWidth="1" min="1" max="1"/>
    <col width="30" customWidth="1" min="2" max="2"/>
    <col width="17" customWidth="1" min="3" max="3"/>
    <col width="14" customWidth="1" min="4" max="4"/>
    <col width="10" customWidth="1" min="5" max="5"/>
    <col width="10" customWidth="1" min="6" max="6"/>
    <col width="22" customWidth="1" min="7" max="7"/>
    <col width="18" customWidth="1" min="8" max="8"/>
    <col width="14" customWidth="1" min="9" max="9"/>
    <col width="20" customWidth="1" min="10" max="10"/>
    <col width="16" customWidth="1" min="11" max="11"/>
    <col width="13" customWidth="1" min="12" max="12"/>
    <col width="18" customWidth="1" min="13" max="13"/>
    <col width="16" customWidth="1" min="14" max="14"/>
    <col width="18" customWidth="1" min="15" max="15"/>
    <col width="22" customWidth="1" min="16" max="16"/>
    <col width="12" customWidth="1" min="17" max="17"/>
    <col width="36" customWidth="1" min="18" max="18"/>
    <col hidden="1" width="13" customWidth="1" min="25" max="25"/>
    <col hidden="1" width="13" customWidth="1" min="26" max="26"/>
  </cols>
  <sheetData>
    <row r="1" ht="28" customHeight="1">
      <c r="A1" s="18" t="inlineStr">
        <is>
          <t>2 · Route Requirements</t>
        </is>
      </c>
      <c r="Z1" s="14" t="inlineStr">
        <is>
          <t>Yes</t>
        </is>
      </c>
    </row>
    <row r="2" ht="20" customHeight="1">
      <c r="A2" s="3" t="inlineStr">
        <is>
          <t>Does each route have what it needs?</t>
        </is>
      </c>
      <c r="Z2" s="14" t="inlineStr">
        <is>
          <t>No</t>
        </is>
      </c>
    </row>
    <row r="3" ht="28" customHeight="1">
      <c r="A3" s="19" t="inlineStr">
        <is>
          <t>Rows mirror the Gate Inventory. Fill in only the columns for the row’s final route; the others are greyed out. Each row names the first thing missing.</t>
        </is>
      </c>
    </row>
    <row r="4">
      <c r="Z4" s="14" t="inlineStr">
        <is>
          <t>Yes</t>
        </is>
      </c>
    </row>
    <row r="5" ht="34" customHeight="1">
      <c r="A5" s="34" t="inlineStr">
        <is>
          <t>Minimum trials for non-deterministic Block cases</t>
        </is>
      </c>
      <c r="C5" s="22" t="n">
        <v>3</v>
      </c>
      <c r="D5" s="19" t="inlineStr">
        <is>
          <t>Agents vary between runs. A Block case on non-deterministic behaviour should pass every one of several trials.</t>
        </is>
      </c>
      <c r="Z5" s="14" t="inlineStr">
        <is>
          <t>Partial</t>
        </is>
      </c>
    </row>
    <row r="6">
      <c r="Z6" s="14" t="inlineStr">
        <is>
          <t>No</t>
        </is>
      </c>
    </row>
    <row r="7" ht="20" customHeight="1">
      <c r="E7" s="35" t="inlineStr">
        <is>
          <t>Block</t>
        </is>
      </c>
      <c r="G7" s="36" t="inlineStr">
        <is>
          <t>Human decides</t>
        </is>
      </c>
      <c r="J7" s="37" t="inlineStr">
        <is>
          <t>Check downstream</t>
        </is>
      </c>
      <c r="P7" s="38" t="inlineStr">
        <is>
          <t>Track</t>
        </is>
      </c>
    </row>
    <row r="8" ht="58" customHeight="1">
      <c r="A8" s="6" t="inlineStr">
        <is>
          <t>#</t>
        </is>
      </c>
      <c r="B8" s="6" t="inlineStr">
        <is>
          <t>Case or suite</t>
        </is>
      </c>
      <c r="C8" s="6" t="inlineStr">
        <is>
          <t>Final route</t>
        </is>
      </c>
      <c r="D8" s="6" t="inlineStr">
        <is>
          <t>Deterministic?</t>
        </is>
      </c>
      <c r="E8" s="6" t="inlineStr">
        <is>
          <t>Trials per release</t>
        </is>
      </c>
      <c r="F8" s="6" t="inlineStr">
        <is>
          <t>Trials that must pass</t>
        </is>
      </c>
      <c r="G8" s="6" t="inlineStr">
        <is>
          <t>Owner</t>
        </is>
      </c>
      <c r="H8" s="6" t="inlineStr">
        <is>
          <t>Backup owner</t>
        </is>
      </c>
      <c r="I8" s="6" t="inlineStr">
        <is>
          <t>Halt criteria written before the release?</t>
        </is>
      </c>
      <c r="J8" s="6" t="inlineStr">
        <is>
          <t>Downstream system</t>
        </is>
      </c>
      <c r="K8" s="6" t="inlineStr">
        <is>
          <t>Team that owns its pipeline</t>
        </is>
      </c>
      <c r="L8" s="6" t="inlineStr">
        <is>
          <t>Output contract exists?</t>
        </is>
      </c>
      <c r="M8" s="6" t="inlineStr">
        <is>
          <t>Downstream verifies the contract before either side deploys?</t>
        </is>
      </c>
      <c r="N8" s="6" t="inlineStr">
        <is>
          <t>Both sides can switch the new behaviour on together?</t>
        </is>
      </c>
      <c r="O8" s="6" t="inlineStr">
        <is>
          <t>Who can halt the release</t>
        </is>
      </c>
      <c r="P8" s="6" t="inlineStr">
        <is>
          <t>Owner who reviews the trend</t>
        </is>
      </c>
      <c r="Q8" s="6" t="inlineStr">
        <is>
          <t>Route ready?</t>
        </is>
      </c>
      <c r="R8" s="6" t="inlineStr">
        <is>
          <t>Why not ready</t>
        </is>
      </c>
    </row>
    <row r="9" ht="30" customHeight="1">
      <c r="A9" s="20" t="n">
        <v>1</v>
      </c>
      <c r="B9" s="8">
        <f>IF('1 · Gate Inventory'!B6="","",'1 · Gate Inventory'!B6)</f>
        <v/>
      </c>
      <c r="C9" s="23">
        <f>IF('1 · Gate Inventory'!K6="","",'1 · Gate Inventory'!K6)</f>
        <v/>
      </c>
      <c r="D9" s="23">
        <f>IF('1 · Gate Inventory'!H6="","",'1 · Gate Inventory'!H6)</f>
        <v/>
      </c>
      <c r="E9" s="22" t="n"/>
      <c r="F9" s="22" t="n"/>
      <c r="G9" s="21" t="n"/>
      <c r="H9" s="21" t="n"/>
      <c r="I9" s="22" t="n"/>
      <c r="J9" s="21" t="n"/>
      <c r="K9" s="21" t="n"/>
      <c r="L9" s="22" t="n"/>
      <c r="M9" s="22" t="n"/>
      <c r="N9" s="22" t="n"/>
      <c r="O9" s="21" t="n"/>
      <c r="P9" s="21" t="n"/>
      <c r="Q9" s="23">
        <f>IF(C9="","",IF(R9="","Ready","Not ready"))</f>
        <v/>
      </c>
      <c r="R9" s="8">
        <f>IF(C9="","",IF(C9="Block",IF(OR(E9="",E9&lt;1),"No trials set",IF(F9="","Trials that must pass not set",IF(F9&lt;E9,"Trials that must pass is lower than trials",IF(F9&gt;E9,"Trials that must pass is more than trials",IF(AND(D9&lt;&gt;"Yes",E9&lt;IF($C$5="",3,$C$5)),"Fewer trials than the minimum for non-deterministic cases",""))))),IF(C9="Human decides",IF(G9="","No owner",IF(I9&lt;&gt;"Yes","No halt criteria","")),IF(C9="Check downstream",IF(J9="","No downstream system named",IF(K9="","No team named for its pipeline",IF(L9="Partial","Output contract only partial",IF(L9&lt;&gt;"Yes","No output contract",IF(M9&lt;&gt;"Yes","Contract not verified before deploy",IF(N9&lt;&gt;"Yes","Cannot switch on together",IF(O9="","Nobody named who can halt",""))))))),IF(C9="Track",IF(P9="","No owner",""),"")))))</f>
        <v/>
      </c>
    </row>
    <row r="10" ht="30" customHeight="1">
      <c r="A10" s="20" t="n">
        <v>2</v>
      </c>
      <c r="B10" s="8">
        <f>IF('1 · Gate Inventory'!B7="","",'1 · Gate Inventory'!B7)</f>
        <v/>
      </c>
      <c r="C10" s="23">
        <f>IF('1 · Gate Inventory'!K7="","",'1 · Gate Inventory'!K7)</f>
        <v/>
      </c>
      <c r="D10" s="23">
        <f>IF('1 · Gate Inventory'!H7="","",'1 · Gate Inventory'!H7)</f>
        <v/>
      </c>
      <c r="E10" s="22" t="n"/>
      <c r="F10" s="22" t="n"/>
      <c r="G10" s="21" t="n"/>
      <c r="H10" s="21" t="n"/>
      <c r="I10" s="22" t="n"/>
      <c r="J10" s="21" t="n"/>
      <c r="K10" s="21" t="n"/>
      <c r="L10" s="22" t="n"/>
      <c r="M10" s="22" t="n"/>
      <c r="N10" s="22" t="n"/>
      <c r="O10" s="21" t="n"/>
      <c r="P10" s="21" t="n"/>
      <c r="Q10" s="23">
        <f>IF(C10="","",IF(R10="","Ready","Not ready"))</f>
        <v/>
      </c>
      <c r="R10" s="8">
        <f>IF(C10="","",IF(C10="Block",IF(OR(E10="",E10&lt;1),"No trials set",IF(F10="","Trials that must pass not set",IF(F10&lt;E10,"Trials that must pass is lower than trials",IF(F10&gt;E10,"Trials that must pass is more than trials",IF(AND(D10&lt;&gt;"Yes",E10&lt;IF($C$5="",3,$C$5)),"Fewer trials than the minimum for non-deterministic cases",""))))),IF(C10="Human decides",IF(G10="","No owner",IF(I10&lt;&gt;"Yes","No halt criteria","")),IF(C10="Check downstream",IF(J10="","No downstream system named",IF(K10="","No team named for its pipeline",IF(L10="Partial","Output contract only partial",IF(L10&lt;&gt;"Yes","No output contract",IF(M10&lt;&gt;"Yes","Contract not verified before deploy",IF(N10&lt;&gt;"Yes","Cannot switch on together",IF(O10="","Nobody named who can halt",""))))))),IF(C10="Track",IF(P10="","No owner",""),"")))))</f>
        <v/>
      </c>
    </row>
    <row r="11" ht="30" customHeight="1">
      <c r="A11" s="20" t="n">
        <v>3</v>
      </c>
      <c r="B11" s="8">
        <f>IF('1 · Gate Inventory'!B8="","",'1 · Gate Inventory'!B8)</f>
        <v/>
      </c>
      <c r="C11" s="23">
        <f>IF('1 · Gate Inventory'!K8="","",'1 · Gate Inventory'!K8)</f>
        <v/>
      </c>
      <c r="D11" s="23">
        <f>IF('1 · Gate Inventory'!H8="","",'1 · Gate Inventory'!H8)</f>
        <v/>
      </c>
      <c r="E11" s="22" t="n"/>
      <c r="F11" s="22" t="n"/>
      <c r="G11" s="21" t="n"/>
      <c r="H11" s="21" t="n"/>
      <c r="I11" s="22" t="n"/>
      <c r="J11" s="21" t="n"/>
      <c r="K11" s="21" t="n"/>
      <c r="L11" s="22" t="n"/>
      <c r="M11" s="22" t="n"/>
      <c r="N11" s="22" t="n"/>
      <c r="O11" s="21" t="n"/>
      <c r="P11" s="21" t="n"/>
      <c r="Q11" s="23">
        <f>IF(C11="","",IF(R11="","Ready","Not ready"))</f>
        <v/>
      </c>
      <c r="R11" s="8">
        <f>IF(C11="","",IF(C11="Block",IF(OR(E11="",E11&lt;1),"No trials set",IF(F11="","Trials that must pass not set",IF(F11&lt;E11,"Trials that must pass is lower than trials",IF(F11&gt;E11,"Trials that must pass is more than trials",IF(AND(D11&lt;&gt;"Yes",E11&lt;IF($C$5="",3,$C$5)),"Fewer trials than the minimum for non-deterministic cases",""))))),IF(C11="Human decides",IF(G11="","No owner",IF(I11&lt;&gt;"Yes","No halt criteria","")),IF(C11="Check downstream",IF(J11="","No downstream system named",IF(K11="","No team named for its pipeline",IF(L11="Partial","Output contract only partial",IF(L11&lt;&gt;"Yes","No output contract",IF(M11&lt;&gt;"Yes","Contract not verified before deploy",IF(N11&lt;&gt;"Yes","Cannot switch on together",IF(O11="","Nobody named who can halt",""))))))),IF(C11="Track",IF(P11="","No owner",""),"")))))</f>
        <v/>
      </c>
    </row>
    <row r="12" ht="30" customHeight="1">
      <c r="A12" s="20" t="n">
        <v>4</v>
      </c>
      <c r="B12" s="8">
        <f>IF('1 · Gate Inventory'!B9="","",'1 · Gate Inventory'!B9)</f>
        <v/>
      </c>
      <c r="C12" s="23">
        <f>IF('1 · Gate Inventory'!K9="","",'1 · Gate Inventory'!K9)</f>
        <v/>
      </c>
      <c r="D12" s="23">
        <f>IF('1 · Gate Inventory'!H9="","",'1 · Gate Inventory'!H9)</f>
        <v/>
      </c>
      <c r="E12" s="22" t="n"/>
      <c r="F12" s="22" t="n"/>
      <c r="G12" s="21" t="n"/>
      <c r="H12" s="21" t="n"/>
      <c r="I12" s="22" t="n"/>
      <c r="J12" s="21" t="n"/>
      <c r="K12" s="21" t="n"/>
      <c r="L12" s="22" t="n"/>
      <c r="M12" s="22" t="n"/>
      <c r="N12" s="22" t="n"/>
      <c r="O12" s="21" t="n"/>
      <c r="P12" s="21" t="n"/>
      <c r="Q12" s="23">
        <f>IF(C12="","",IF(R12="","Ready","Not ready"))</f>
        <v/>
      </c>
      <c r="R12" s="8">
        <f>IF(C12="","",IF(C12="Block",IF(OR(E12="",E12&lt;1),"No trials set",IF(F12="","Trials that must pass not set",IF(F12&lt;E12,"Trials that must pass is lower than trials",IF(F12&gt;E12,"Trials that must pass is more than trials",IF(AND(D12&lt;&gt;"Yes",E12&lt;IF($C$5="",3,$C$5)),"Fewer trials than the minimum for non-deterministic cases",""))))),IF(C12="Human decides",IF(G12="","No owner",IF(I12&lt;&gt;"Yes","No halt criteria","")),IF(C12="Check downstream",IF(J12="","No downstream system named",IF(K12="","No team named for its pipeline",IF(L12="Partial","Output contract only partial",IF(L12&lt;&gt;"Yes","No output contract",IF(M12&lt;&gt;"Yes","Contract not verified before deploy",IF(N12&lt;&gt;"Yes","Cannot switch on together",IF(O12="","Nobody named who can halt",""))))))),IF(C12="Track",IF(P12="","No owner",""),"")))))</f>
        <v/>
      </c>
    </row>
    <row r="13" ht="30" customHeight="1">
      <c r="A13" s="20" t="n">
        <v>5</v>
      </c>
      <c r="B13" s="8">
        <f>IF('1 · Gate Inventory'!B10="","",'1 · Gate Inventory'!B10)</f>
        <v/>
      </c>
      <c r="C13" s="23">
        <f>IF('1 · Gate Inventory'!K10="","",'1 · Gate Inventory'!K10)</f>
        <v/>
      </c>
      <c r="D13" s="23">
        <f>IF('1 · Gate Inventory'!H10="","",'1 · Gate Inventory'!H10)</f>
        <v/>
      </c>
      <c r="E13" s="22" t="n"/>
      <c r="F13" s="22" t="n"/>
      <c r="G13" s="21" t="n"/>
      <c r="H13" s="21" t="n"/>
      <c r="I13" s="22" t="n"/>
      <c r="J13" s="21" t="n"/>
      <c r="K13" s="21" t="n"/>
      <c r="L13" s="22" t="n"/>
      <c r="M13" s="22" t="n"/>
      <c r="N13" s="22" t="n"/>
      <c r="O13" s="21" t="n"/>
      <c r="P13" s="21" t="n"/>
      <c r="Q13" s="23">
        <f>IF(C13="","",IF(R13="","Ready","Not ready"))</f>
        <v/>
      </c>
      <c r="R13" s="8">
        <f>IF(C13="","",IF(C13="Block",IF(OR(E13="",E13&lt;1),"No trials set",IF(F13="","Trials that must pass not set",IF(F13&lt;E13,"Trials that must pass is lower than trials",IF(F13&gt;E13,"Trials that must pass is more than trials",IF(AND(D13&lt;&gt;"Yes",E13&lt;IF($C$5="",3,$C$5)),"Fewer trials than the minimum for non-deterministic cases",""))))),IF(C13="Human decides",IF(G13="","No owner",IF(I13&lt;&gt;"Yes","No halt criteria","")),IF(C13="Check downstream",IF(J13="","No downstream system named",IF(K13="","No team named for its pipeline",IF(L13="Partial","Output contract only partial",IF(L13&lt;&gt;"Yes","No output contract",IF(M13&lt;&gt;"Yes","Contract not verified before deploy",IF(N13&lt;&gt;"Yes","Cannot switch on together",IF(O13="","Nobody named who can halt",""))))))),IF(C13="Track",IF(P13="","No owner",""),"")))))</f>
        <v/>
      </c>
    </row>
    <row r="14" ht="30" customHeight="1">
      <c r="A14" s="20" t="n">
        <v>6</v>
      </c>
      <c r="B14" s="8">
        <f>IF('1 · Gate Inventory'!B11="","",'1 · Gate Inventory'!B11)</f>
        <v/>
      </c>
      <c r="C14" s="23">
        <f>IF('1 · Gate Inventory'!K11="","",'1 · Gate Inventory'!K11)</f>
        <v/>
      </c>
      <c r="D14" s="23">
        <f>IF('1 · Gate Inventory'!H11="","",'1 · Gate Inventory'!H11)</f>
        <v/>
      </c>
      <c r="E14" s="22" t="n"/>
      <c r="F14" s="22" t="n"/>
      <c r="G14" s="21" t="n"/>
      <c r="H14" s="21" t="n"/>
      <c r="I14" s="22" t="n"/>
      <c r="J14" s="21" t="n"/>
      <c r="K14" s="21" t="n"/>
      <c r="L14" s="22" t="n"/>
      <c r="M14" s="22" t="n"/>
      <c r="N14" s="22" t="n"/>
      <c r="O14" s="21" t="n"/>
      <c r="P14" s="21" t="n"/>
      <c r="Q14" s="23">
        <f>IF(C14="","",IF(R14="","Ready","Not ready"))</f>
        <v/>
      </c>
      <c r="R14" s="8">
        <f>IF(C14="","",IF(C14="Block",IF(OR(E14="",E14&lt;1),"No trials set",IF(F14="","Trials that must pass not set",IF(F14&lt;E14,"Trials that must pass is lower than trials",IF(F14&gt;E14,"Trials that must pass is more than trials",IF(AND(D14&lt;&gt;"Yes",E14&lt;IF($C$5="",3,$C$5)),"Fewer trials than the minimum for non-deterministic cases",""))))),IF(C14="Human decides",IF(G14="","No owner",IF(I14&lt;&gt;"Yes","No halt criteria","")),IF(C14="Check downstream",IF(J14="","No downstream system named",IF(K14="","No team named for its pipeline",IF(L14="Partial","Output contract only partial",IF(L14&lt;&gt;"Yes","No output contract",IF(M14&lt;&gt;"Yes","Contract not verified before deploy",IF(N14&lt;&gt;"Yes","Cannot switch on together",IF(O14="","Nobody named who can halt",""))))))),IF(C14="Track",IF(P14="","No owner",""),"")))))</f>
        <v/>
      </c>
    </row>
    <row r="15" ht="30" customHeight="1">
      <c r="A15" s="20" t="n">
        <v>7</v>
      </c>
      <c r="B15" s="8">
        <f>IF('1 · Gate Inventory'!B12="","",'1 · Gate Inventory'!B12)</f>
        <v/>
      </c>
      <c r="C15" s="23">
        <f>IF('1 · Gate Inventory'!K12="","",'1 · Gate Inventory'!K12)</f>
        <v/>
      </c>
      <c r="D15" s="23">
        <f>IF('1 · Gate Inventory'!H12="","",'1 · Gate Inventory'!H12)</f>
        <v/>
      </c>
      <c r="E15" s="22" t="n"/>
      <c r="F15" s="22" t="n"/>
      <c r="G15" s="21" t="n"/>
      <c r="H15" s="21" t="n"/>
      <c r="I15" s="22" t="n"/>
      <c r="J15" s="21" t="n"/>
      <c r="K15" s="21" t="n"/>
      <c r="L15" s="22" t="n"/>
      <c r="M15" s="22" t="n"/>
      <c r="N15" s="22" t="n"/>
      <c r="O15" s="21" t="n"/>
      <c r="P15" s="21" t="n"/>
      <c r="Q15" s="23">
        <f>IF(C15="","",IF(R15="","Ready","Not ready"))</f>
        <v/>
      </c>
      <c r="R15" s="8">
        <f>IF(C15="","",IF(C15="Block",IF(OR(E15="",E15&lt;1),"No trials set",IF(F15="","Trials that must pass not set",IF(F15&lt;E15,"Trials that must pass is lower than trials",IF(F15&gt;E15,"Trials that must pass is more than trials",IF(AND(D15&lt;&gt;"Yes",E15&lt;IF($C$5="",3,$C$5)),"Fewer trials than the minimum for non-deterministic cases",""))))),IF(C15="Human decides",IF(G15="","No owner",IF(I15&lt;&gt;"Yes","No halt criteria","")),IF(C15="Check downstream",IF(J15="","No downstream system named",IF(K15="","No team named for its pipeline",IF(L15="Partial","Output contract only partial",IF(L15&lt;&gt;"Yes","No output contract",IF(M15&lt;&gt;"Yes","Contract not verified before deploy",IF(N15&lt;&gt;"Yes","Cannot switch on together",IF(O15="","Nobody named who can halt",""))))))),IF(C15="Track",IF(P15="","No owner",""),"")))))</f>
        <v/>
      </c>
    </row>
    <row r="16" ht="30" customHeight="1">
      <c r="A16" s="20" t="n">
        <v>8</v>
      </c>
      <c r="B16" s="8">
        <f>IF('1 · Gate Inventory'!B13="","",'1 · Gate Inventory'!B13)</f>
        <v/>
      </c>
      <c r="C16" s="23">
        <f>IF('1 · Gate Inventory'!K13="","",'1 · Gate Inventory'!K13)</f>
        <v/>
      </c>
      <c r="D16" s="23">
        <f>IF('1 · Gate Inventory'!H13="","",'1 · Gate Inventory'!H13)</f>
        <v/>
      </c>
      <c r="E16" s="22" t="n"/>
      <c r="F16" s="22" t="n"/>
      <c r="G16" s="21" t="n"/>
      <c r="H16" s="21" t="n"/>
      <c r="I16" s="22" t="n"/>
      <c r="J16" s="21" t="n"/>
      <c r="K16" s="21" t="n"/>
      <c r="L16" s="22" t="n"/>
      <c r="M16" s="22" t="n"/>
      <c r="N16" s="22" t="n"/>
      <c r="O16" s="21" t="n"/>
      <c r="P16" s="21" t="n"/>
      <c r="Q16" s="23">
        <f>IF(C16="","",IF(R16="","Ready","Not ready"))</f>
        <v/>
      </c>
      <c r="R16" s="8">
        <f>IF(C16="","",IF(C16="Block",IF(OR(E16="",E16&lt;1),"No trials set",IF(F16="","Trials that must pass not set",IF(F16&lt;E16,"Trials that must pass is lower than trials",IF(F16&gt;E16,"Trials that must pass is more than trials",IF(AND(D16&lt;&gt;"Yes",E16&lt;IF($C$5="",3,$C$5)),"Fewer trials than the minimum for non-deterministic cases",""))))),IF(C16="Human decides",IF(G16="","No owner",IF(I16&lt;&gt;"Yes","No halt criteria","")),IF(C16="Check downstream",IF(J16="","No downstream system named",IF(K16="","No team named for its pipeline",IF(L16="Partial","Output contract only partial",IF(L16&lt;&gt;"Yes","No output contract",IF(M16&lt;&gt;"Yes","Contract not verified before deploy",IF(N16&lt;&gt;"Yes","Cannot switch on together",IF(O16="","Nobody named who can halt",""))))))),IF(C16="Track",IF(P16="","No owner",""),"")))))</f>
        <v/>
      </c>
    </row>
    <row r="17" ht="30" customHeight="1">
      <c r="A17" s="20" t="n">
        <v>9</v>
      </c>
      <c r="B17" s="8">
        <f>IF('1 · Gate Inventory'!B14="","",'1 · Gate Inventory'!B14)</f>
        <v/>
      </c>
      <c r="C17" s="23">
        <f>IF('1 · Gate Inventory'!K14="","",'1 · Gate Inventory'!K14)</f>
        <v/>
      </c>
      <c r="D17" s="23">
        <f>IF('1 · Gate Inventory'!H14="","",'1 · Gate Inventory'!H14)</f>
        <v/>
      </c>
      <c r="E17" s="22" t="n"/>
      <c r="F17" s="22" t="n"/>
      <c r="G17" s="21" t="n"/>
      <c r="H17" s="21" t="n"/>
      <c r="I17" s="22" t="n"/>
      <c r="J17" s="21" t="n"/>
      <c r="K17" s="21" t="n"/>
      <c r="L17" s="22" t="n"/>
      <c r="M17" s="22" t="n"/>
      <c r="N17" s="22" t="n"/>
      <c r="O17" s="21" t="n"/>
      <c r="P17" s="21" t="n"/>
      <c r="Q17" s="23">
        <f>IF(C17="","",IF(R17="","Ready","Not ready"))</f>
        <v/>
      </c>
      <c r="R17" s="8">
        <f>IF(C17="","",IF(C17="Block",IF(OR(E17="",E17&lt;1),"No trials set",IF(F17="","Trials that must pass not set",IF(F17&lt;E17,"Trials that must pass is lower than trials",IF(F17&gt;E17,"Trials that must pass is more than trials",IF(AND(D17&lt;&gt;"Yes",E17&lt;IF($C$5="",3,$C$5)),"Fewer trials than the minimum for non-deterministic cases",""))))),IF(C17="Human decides",IF(G17="","No owner",IF(I17&lt;&gt;"Yes","No halt criteria","")),IF(C17="Check downstream",IF(J17="","No downstream system named",IF(K17="","No team named for its pipeline",IF(L17="Partial","Output contract only partial",IF(L17&lt;&gt;"Yes","No output contract",IF(M17&lt;&gt;"Yes","Contract not verified before deploy",IF(N17&lt;&gt;"Yes","Cannot switch on together",IF(O17="","Nobody named who can halt",""))))))),IF(C17="Track",IF(P17="","No owner",""),"")))))</f>
        <v/>
      </c>
    </row>
    <row r="18" ht="30" customHeight="1">
      <c r="A18" s="20" t="n">
        <v>10</v>
      </c>
      <c r="B18" s="8">
        <f>IF('1 · Gate Inventory'!B15="","",'1 · Gate Inventory'!B15)</f>
        <v/>
      </c>
      <c r="C18" s="23">
        <f>IF('1 · Gate Inventory'!K15="","",'1 · Gate Inventory'!K15)</f>
        <v/>
      </c>
      <c r="D18" s="23">
        <f>IF('1 · Gate Inventory'!H15="","",'1 · Gate Inventory'!H15)</f>
        <v/>
      </c>
      <c r="E18" s="22" t="n"/>
      <c r="F18" s="22" t="n"/>
      <c r="G18" s="21" t="n"/>
      <c r="H18" s="21" t="n"/>
      <c r="I18" s="22" t="n"/>
      <c r="J18" s="21" t="n"/>
      <c r="K18" s="21" t="n"/>
      <c r="L18" s="22" t="n"/>
      <c r="M18" s="22" t="n"/>
      <c r="N18" s="22" t="n"/>
      <c r="O18" s="21" t="n"/>
      <c r="P18" s="21" t="n"/>
      <c r="Q18" s="23">
        <f>IF(C18="","",IF(R18="","Ready","Not ready"))</f>
        <v/>
      </c>
      <c r="R18" s="8">
        <f>IF(C18="","",IF(C18="Block",IF(OR(E18="",E18&lt;1),"No trials set",IF(F18="","Trials that must pass not set",IF(F18&lt;E18,"Trials that must pass is lower than trials",IF(F18&gt;E18,"Trials that must pass is more than trials",IF(AND(D18&lt;&gt;"Yes",E18&lt;IF($C$5="",3,$C$5)),"Fewer trials than the minimum for non-deterministic cases",""))))),IF(C18="Human decides",IF(G18="","No owner",IF(I18&lt;&gt;"Yes","No halt criteria","")),IF(C18="Check downstream",IF(J18="","No downstream system named",IF(K18="","No team named for its pipeline",IF(L18="Partial","Output contract only partial",IF(L18&lt;&gt;"Yes","No output contract",IF(M18&lt;&gt;"Yes","Contract not verified before deploy",IF(N18&lt;&gt;"Yes","Cannot switch on together",IF(O18="","Nobody named who can halt",""))))))),IF(C18="Track",IF(P18="","No owner",""),"")))))</f>
        <v/>
      </c>
    </row>
    <row r="19" ht="30" customHeight="1">
      <c r="A19" s="20" t="n">
        <v>11</v>
      </c>
      <c r="B19" s="8">
        <f>IF('1 · Gate Inventory'!B16="","",'1 · Gate Inventory'!B16)</f>
        <v/>
      </c>
      <c r="C19" s="23">
        <f>IF('1 · Gate Inventory'!K16="","",'1 · Gate Inventory'!K16)</f>
        <v/>
      </c>
      <c r="D19" s="23">
        <f>IF('1 · Gate Inventory'!H16="","",'1 · Gate Inventory'!H16)</f>
        <v/>
      </c>
      <c r="E19" s="22" t="n"/>
      <c r="F19" s="22" t="n"/>
      <c r="G19" s="21" t="n"/>
      <c r="H19" s="21" t="n"/>
      <c r="I19" s="22" t="n"/>
      <c r="J19" s="21" t="n"/>
      <c r="K19" s="21" t="n"/>
      <c r="L19" s="22" t="n"/>
      <c r="M19" s="22" t="n"/>
      <c r="N19" s="22" t="n"/>
      <c r="O19" s="21" t="n"/>
      <c r="P19" s="21" t="n"/>
      <c r="Q19" s="23">
        <f>IF(C19="","",IF(R19="","Ready","Not ready"))</f>
        <v/>
      </c>
      <c r="R19" s="8">
        <f>IF(C19="","",IF(C19="Block",IF(OR(E19="",E19&lt;1),"No trials set",IF(F19="","Trials that must pass not set",IF(F19&lt;E19,"Trials that must pass is lower than trials",IF(F19&gt;E19,"Trials that must pass is more than trials",IF(AND(D19&lt;&gt;"Yes",E19&lt;IF($C$5="",3,$C$5)),"Fewer trials than the minimum for non-deterministic cases",""))))),IF(C19="Human decides",IF(G19="","No owner",IF(I19&lt;&gt;"Yes","No halt criteria","")),IF(C19="Check downstream",IF(J19="","No downstream system named",IF(K19="","No team named for its pipeline",IF(L19="Partial","Output contract only partial",IF(L19&lt;&gt;"Yes","No output contract",IF(M19&lt;&gt;"Yes","Contract not verified before deploy",IF(N19&lt;&gt;"Yes","Cannot switch on together",IF(O19="","Nobody named who can halt",""))))))),IF(C19="Track",IF(P19="","No owner",""),"")))))</f>
        <v/>
      </c>
    </row>
    <row r="20" ht="30" customHeight="1">
      <c r="A20" s="20" t="n">
        <v>12</v>
      </c>
      <c r="B20" s="8">
        <f>IF('1 · Gate Inventory'!B17="","",'1 · Gate Inventory'!B17)</f>
        <v/>
      </c>
      <c r="C20" s="23">
        <f>IF('1 · Gate Inventory'!K17="","",'1 · Gate Inventory'!K17)</f>
        <v/>
      </c>
      <c r="D20" s="23">
        <f>IF('1 · Gate Inventory'!H17="","",'1 · Gate Inventory'!H17)</f>
        <v/>
      </c>
      <c r="E20" s="22" t="n"/>
      <c r="F20" s="22" t="n"/>
      <c r="G20" s="21" t="n"/>
      <c r="H20" s="21" t="n"/>
      <c r="I20" s="22" t="n"/>
      <c r="J20" s="21" t="n"/>
      <c r="K20" s="21" t="n"/>
      <c r="L20" s="22" t="n"/>
      <c r="M20" s="22" t="n"/>
      <c r="N20" s="22" t="n"/>
      <c r="O20" s="21" t="n"/>
      <c r="P20" s="21" t="n"/>
      <c r="Q20" s="23">
        <f>IF(C20="","",IF(R20="","Ready","Not ready"))</f>
        <v/>
      </c>
      <c r="R20" s="8">
        <f>IF(C20="","",IF(C20="Block",IF(OR(E20="",E20&lt;1),"No trials set",IF(F20="","Trials that must pass not set",IF(F20&lt;E20,"Trials that must pass is lower than trials",IF(F20&gt;E20,"Trials that must pass is more than trials",IF(AND(D20&lt;&gt;"Yes",E20&lt;IF($C$5="",3,$C$5)),"Fewer trials than the minimum for non-deterministic cases",""))))),IF(C20="Human decides",IF(G20="","No owner",IF(I20&lt;&gt;"Yes","No halt criteria","")),IF(C20="Check downstream",IF(J20="","No downstream system named",IF(K20="","No team named for its pipeline",IF(L20="Partial","Output contract only partial",IF(L20&lt;&gt;"Yes","No output contract",IF(M20&lt;&gt;"Yes","Contract not verified before deploy",IF(N20&lt;&gt;"Yes","Cannot switch on together",IF(O20="","Nobody named who can halt",""))))))),IF(C20="Track",IF(P20="","No owner",""),"")))))</f>
        <v/>
      </c>
    </row>
    <row r="21" ht="30" customHeight="1">
      <c r="A21" s="20" t="n">
        <v>13</v>
      </c>
      <c r="B21" s="8">
        <f>IF('1 · Gate Inventory'!B18="","",'1 · Gate Inventory'!B18)</f>
        <v/>
      </c>
      <c r="C21" s="23">
        <f>IF('1 · Gate Inventory'!K18="","",'1 · Gate Inventory'!K18)</f>
        <v/>
      </c>
      <c r="D21" s="23">
        <f>IF('1 · Gate Inventory'!H18="","",'1 · Gate Inventory'!H18)</f>
        <v/>
      </c>
      <c r="E21" s="22" t="n"/>
      <c r="F21" s="22" t="n"/>
      <c r="G21" s="21" t="n"/>
      <c r="H21" s="21" t="n"/>
      <c r="I21" s="22" t="n"/>
      <c r="J21" s="21" t="n"/>
      <c r="K21" s="21" t="n"/>
      <c r="L21" s="22" t="n"/>
      <c r="M21" s="22" t="n"/>
      <c r="N21" s="22" t="n"/>
      <c r="O21" s="21" t="n"/>
      <c r="P21" s="21" t="n"/>
      <c r="Q21" s="23">
        <f>IF(C21="","",IF(R21="","Ready","Not ready"))</f>
        <v/>
      </c>
      <c r="R21" s="8">
        <f>IF(C21="","",IF(C21="Block",IF(OR(E21="",E21&lt;1),"No trials set",IF(F21="","Trials that must pass not set",IF(F21&lt;E21,"Trials that must pass is lower than trials",IF(F21&gt;E21,"Trials that must pass is more than trials",IF(AND(D21&lt;&gt;"Yes",E21&lt;IF($C$5="",3,$C$5)),"Fewer trials than the minimum for non-deterministic cases",""))))),IF(C21="Human decides",IF(G21="","No owner",IF(I21&lt;&gt;"Yes","No halt criteria","")),IF(C21="Check downstream",IF(J21="","No downstream system named",IF(K21="","No team named for its pipeline",IF(L21="Partial","Output contract only partial",IF(L21&lt;&gt;"Yes","No output contract",IF(M21&lt;&gt;"Yes","Contract not verified before deploy",IF(N21&lt;&gt;"Yes","Cannot switch on together",IF(O21="","Nobody named who can halt",""))))))),IF(C21="Track",IF(P21="","No owner",""),"")))))</f>
        <v/>
      </c>
    </row>
    <row r="22" ht="30" customHeight="1">
      <c r="A22" s="20" t="n">
        <v>14</v>
      </c>
      <c r="B22" s="8">
        <f>IF('1 · Gate Inventory'!B19="","",'1 · Gate Inventory'!B19)</f>
        <v/>
      </c>
      <c r="C22" s="23">
        <f>IF('1 · Gate Inventory'!K19="","",'1 · Gate Inventory'!K19)</f>
        <v/>
      </c>
      <c r="D22" s="23">
        <f>IF('1 · Gate Inventory'!H19="","",'1 · Gate Inventory'!H19)</f>
        <v/>
      </c>
      <c r="E22" s="22" t="n"/>
      <c r="F22" s="22" t="n"/>
      <c r="G22" s="21" t="n"/>
      <c r="H22" s="21" t="n"/>
      <c r="I22" s="22" t="n"/>
      <c r="J22" s="21" t="n"/>
      <c r="K22" s="21" t="n"/>
      <c r="L22" s="22" t="n"/>
      <c r="M22" s="22" t="n"/>
      <c r="N22" s="22" t="n"/>
      <c r="O22" s="21" t="n"/>
      <c r="P22" s="21" t="n"/>
      <c r="Q22" s="23">
        <f>IF(C22="","",IF(R22="","Ready","Not ready"))</f>
        <v/>
      </c>
      <c r="R22" s="8">
        <f>IF(C22="","",IF(C22="Block",IF(OR(E22="",E22&lt;1),"No trials set",IF(F22="","Trials that must pass not set",IF(F22&lt;E22,"Trials that must pass is lower than trials",IF(F22&gt;E22,"Trials that must pass is more than trials",IF(AND(D22&lt;&gt;"Yes",E22&lt;IF($C$5="",3,$C$5)),"Fewer trials than the minimum for non-deterministic cases",""))))),IF(C22="Human decides",IF(G22="","No owner",IF(I22&lt;&gt;"Yes","No halt criteria","")),IF(C22="Check downstream",IF(J22="","No downstream system named",IF(K22="","No team named for its pipeline",IF(L22="Partial","Output contract only partial",IF(L22&lt;&gt;"Yes","No output contract",IF(M22&lt;&gt;"Yes","Contract not verified before deploy",IF(N22&lt;&gt;"Yes","Cannot switch on together",IF(O22="","Nobody named who can halt",""))))))),IF(C22="Track",IF(P22="","No owner",""),"")))))</f>
        <v/>
      </c>
    </row>
    <row r="23" ht="30" customHeight="1">
      <c r="A23" s="20" t="n">
        <v>15</v>
      </c>
      <c r="B23" s="8">
        <f>IF('1 · Gate Inventory'!B20="","",'1 · Gate Inventory'!B20)</f>
        <v/>
      </c>
      <c r="C23" s="23">
        <f>IF('1 · Gate Inventory'!K20="","",'1 · Gate Inventory'!K20)</f>
        <v/>
      </c>
      <c r="D23" s="23">
        <f>IF('1 · Gate Inventory'!H20="","",'1 · Gate Inventory'!H20)</f>
        <v/>
      </c>
      <c r="E23" s="22" t="n"/>
      <c r="F23" s="22" t="n"/>
      <c r="G23" s="21" t="n"/>
      <c r="H23" s="21" t="n"/>
      <c r="I23" s="22" t="n"/>
      <c r="J23" s="21" t="n"/>
      <c r="K23" s="21" t="n"/>
      <c r="L23" s="22" t="n"/>
      <c r="M23" s="22" t="n"/>
      <c r="N23" s="22" t="n"/>
      <c r="O23" s="21" t="n"/>
      <c r="P23" s="21" t="n"/>
      <c r="Q23" s="23">
        <f>IF(C23="","",IF(R23="","Ready","Not ready"))</f>
        <v/>
      </c>
      <c r="R23" s="8">
        <f>IF(C23="","",IF(C23="Block",IF(OR(E23="",E23&lt;1),"No trials set",IF(F23="","Trials that must pass not set",IF(F23&lt;E23,"Trials that must pass is lower than trials",IF(F23&gt;E23,"Trials that must pass is more than trials",IF(AND(D23&lt;&gt;"Yes",E23&lt;IF($C$5="",3,$C$5)),"Fewer trials than the minimum for non-deterministic cases",""))))),IF(C23="Human decides",IF(G23="","No owner",IF(I23&lt;&gt;"Yes","No halt criteria","")),IF(C23="Check downstream",IF(J23="","No downstream system named",IF(K23="","No team named for its pipeline",IF(L23="Partial","Output contract only partial",IF(L23&lt;&gt;"Yes","No output contract",IF(M23&lt;&gt;"Yes","Contract not verified before deploy",IF(N23&lt;&gt;"Yes","Cannot switch on together",IF(O23="","Nobody named who can halt",""))))))),IF(C23="Track",IF(P23="","No owner",""),"")))))</f>
        <v/>
      </c>
    </row>
    <row r="24" ht="30" customHeight="1">
      <c r="A24" s="20" t="n">
        <v>16</v>
      </c>
      <c r="B24" s="8">
        <f>IF('1 · Gate Inventory'!B21="","",'1 · Gate Inventory'!B21)</f>
        <v/>
      </c>
      <c r="C24" s="23">
        <f>IF('1 · Gate Inventory'!K21="","",'1 · Gate Inventory'!K21)</f>
        <v/>
      </c>
      <c r="D24" s="23">
        <f>IF('1 · Gate Inventory'!H21="","",'1 · Gate Inventory'!H21)</f>
        <v/>
      </c>
      <c r="E24" s="22" t="n"/>
      <c r="F24" s="22" t="n"/>
      <c r="G24" s="21" t="n"/>
      <c r="H24" s="21" t="n"/>
      <c r="I24" s="22" t="n"/>
      <c r="J24" s="21" t="n"/>
      <c r="K24" s="21" t="n"/>
      <c r="L24" s="22" t="n"/>
      <c r="M24" s="22" t="n"/>
      <c r="N24" s="22" t="n"/>
      <c r="O24" s="21" t="n"/>
      <c r="P24" s="21" t="n"/>
      <c r="Q24" s="23">
        <f>IF(C24="","",IF(R24="","Ready","Not ready"))</f>
        <v/>
      </c>
      <c r="R24" s="8">
        <f>IF(C24="","",IF(C24="Block",IF(OR(E24="",E24&lt;1),"No trials set",IF(F24="","Trials that must pass not set",IF(F24&lt;E24,"Trials that must pass is lower than trials",IF(F24&gt;E24,"Trials that must pass is more than trials",IF(AND(D24&lt;&gt;"Yes",E24&lt;IF($C$5="",3,$C$5)),"Fewer trials than the minimum for non-deterministic cases",""))))),IF(C24="Human decides",IF(G24="","No owner",IF(I24&lt;&gt;"Yes","No halt criteria","")),IF(C24="Check downstream",IF(J24="","No downstream system named",IF(K24="","No team named for its pipeline",IF(L24="Partial","Output contract only partial",IF(L24&lt;&gt;"Yes","No output contract",IF(M24&lt;&gt;"Yes","Contract not verified before deploy",IF(N24&lt;&gt;"Yes","Cannot switch on together",IF(O24="","Nobody named who can halt",""))))))),IF(C24="Track",IF(P24="","No owner",""),"")))))</f>
        <v/>
      </c>
    </row>
    <row r="25" ht="30" customHeight="1">
      <c r="A25" s="20" t="n">
        <v>17</v>
      </c>
      <c r="B25" s="8">
        <f>IF('1 · Gate Inventory'!B22="","",'1 · Gate Inventory'!B22)</f>
        <v/>
      </c>
      <c r="C25" s="23">
        <f>IF('1 · Gate Inventory'!K22="","",'1 · Gate Inventory'!K22)</f>
        <v/>
      </c>
      <c r="D25" s="23">
        <f>IF('1 · Gate Inventory'!H22="","",'1 · Gate Inventory'!H22)</f>
        <v/>
      </c>
      <c r="E25" s="22" t="n"/>
      <c r="F25" s="22" t="n"/>
      <c r="G25" s="21" t="n"/>
      <c r="H25" s="21" t="n"/>
      <c r="I25" s="22" t="n"/>
      <c r="J25" s="21" t="n"/>
      <c r="K25" s="21" t="n"/>
      <c r="L25" s="22" t="n"/>
      <c r="M25" s="22" t="n"/>
      <c r="N25" s="22" t="n"/>
      <c r="O25" s="21" t="n"/>
      <c r="P25" s="21" t="n"/>
      <c r="Q25" s="23">
        <f>IF(C25="","",IF(R25="","Ready","Not ready"))</f>
        <v/>
      </c>
      <c r="R25" s="8">
        <f>IF(C25="","",IF(C25="Block",IF(OR(E25="",E25&lt;1),"No trials set",IF(F25="","Trials that must pass not set",IF(F25&lt;E25,"Trials that must pass is lower than trials",IF(F25&gt;E25,"Trials that must pass is more than trials",IF(AND(D25&lt;&gt;"Yes",E25&lt;IF($C$5="",3,$C$5)),"Fewer trials than the minimum for non-deterministic cases",""))))),IF(C25="Human decides",IF(G25="","No owner",IF(I25&lt;&gt;"Yes","No halt criteria","")),IF(C25="Check downstream",IF(J25="","No downstream system named",IF(K25="","No team named for its pipeline",IF(L25="Partial","Output contract only partial",IF(L25&lt;&gt;"Yes","No output contract",IF(M25&lt;&gt;"Yes","Contract not verified before deploy",IF(N25&lt;&gt;"Yes","Cannot switch on together",IF(O25="","Nobody named who can halt",""))))))),IF(C25="Track",IF(P25="","No owner",""),"")))))</f>
        <v/>
      </c>
    </row>
    <row r="26" ht="30" customHeight="1">
      <c r="A26" s="20" t="n">
        <v>18</v>
      </c>
      <c r="B26" s="8">
        <f>IF('1 · Gate Inventory'!B23="","",'1 · Gate Inventory'!B23)</f>
        <v/>
      </c>
      <c r="C26" s="23">
        <f>IF('1 · Gate Inventory'!K23="","",'1 · Gate Inventory'!K23)</f>
        <v/>
      </c>
      <c r="D26" s="23">
        <f>IF('1 · Gate Inventory'!H23="","",'1 · Gate Inventory'!H23)</f>
        <v/>
      </c>
      <c r="E26" s="22" t="n"/>
      <c r="F26" s="22" t="n"/>
      <c r="G26" s="21" t="n"/>
      <c r="H26" s="21" t="n"/>
      <c r="I26" s="22" t="n"/>
      <c r="J26" s="21" t="n"/>
      <c r="K26" s="21" t="n"/>
      <c r="L26" s="22" t="n"/>
      <c r="M26" s="22" t="n"/>
      <c r="N26" s="22" t="n"/>
      <c r="O26" s="21" t="n"/>
      <c r="P26" s="21" t="n"/>
      <c r="Q26" s="23">
        <f>IF(C26="","",IF(R26="","Ready","Not ready"))</f>
        <v/>
      </c>
      <c r="R26" s="8">
        <f>IF(C26="","",IF(C26="Block",IF(OR(E26="",E26&lt;1),"No trials set",IF(F26="","Trials that must pass not set",IF(F26&lt;E26,"Trials that must pass is lower than trials",IF(F26&gt;E26,"Trials that must pass is more than trials",IF(AND(D26&lt;&gt;"Yes",E26&lt;IF($C$5="",3,$C$5)),"Fewer trials than the minimum for non-deterministic cases",""))))),IF(C26="Human decides",IF(G26="","No owner",IF(I26&lt;&gt;"Yes","No halt criteria","")),IF(C26="Check downstream",IF(J26="","No downstream system named",IF(K26="","No team named for its pipeline",IF(L26="Partial","Output contract only partial",IF(L26&lt;&gt;"Yes","No output contract",IF(M26&lt;&gt;"Yes","Contract not verified before deploy",IF(N26&lt;&gt;"Yes","Cannot switch on together",IF(O26="","Nobody named who can halt",""))))))),IF(C26="Track",IF(P26="","No owner",""),"")))))</f>
        <v/>
      </c>
    </row>
    <row r="27" ht="30" customHeight="1">
      <c r="A27" s="20" t="n">
        <v>19</v>
      </c>
      <c r="B27" s="8">
        <f>IF('1 · Gate Inventory'!B24="","",'1 · Gate Inventory'!B24)</f>
        <v/>
      </c>
      <c r="C27" s="23">
        <f>IF('1 · Gate Inventory'!K24="","",'1 · Gate Inventory'!K24)</f>
        <v/>
      </c>
      <c r="D27" s="23">
        <f>IF('1 · Gate Inventory'!H24="","",'1 · Gate Inventory'!H24)</f>
        <v/>
      </c>
      <c r="E27" s="22" t="n"/>
      <c r="F27" s="22" t="n"/>
      <c r="G27" s="21" t="n"/>
      <c r="H27" s="21" t="n"/>
      <c r="I27" s="22" t="n"/>
      <c r="J27" s="21" t="n"/>
      <c r="K27" s="21" t="n"/>
      <c r="L27" s="22" t="n"/>
      <c r="M27" s="22" t="n"/>
      <c r="N27" s="22" t="n"/>
      <c r="O27" s="21" t="n"/>
      <c r="P27" s="21" t="n"/>
      <c r="Q27" s="23">
        <f>IF(C27="","",IF(R27="","Ready","Not ready"))</f>
        <v/>
      </c>
      <c r="R27" s="8">
        <f>IF(C27="","",IF(C27="Block",IF(OR(E27="",E27&lt;1),"No trials set",IF(F27="","Trials that must pass not set",IF(F27&lt;E27,"Trials that must pass is lower than trials",IF(F27&gt;E27,"Trials that must pass is more than trials",IF(AND(D27&lt;&gt;"Yes",E27&lt;IF($C$5="",3,$C$5)),"Fewer trials than the minimum for non-deterministic cases",""))))),IF(C27="Human decides",IF(G27="","No owner",IF(I27&lt;&gt;"Yes","No halt criteria","")),IF(C27="Check downstream",IF(J27="","No downstream system named",IF(K27="","No team named for its pipeline",IF(L27="Partial","Output contract only partial",IF(L27&lt;&gt;"Yes","No output contract",IF(M27&lt;&gt;"Yes","Contract not verified before deploy",IF(N27&lt;&gt;"Yes","Cannot switch on together",IF(O27="","Nobody named who can halt",""))))))),IF(C27="Track",IF(P27="","No owner",""),"")))))</f>
        <v/>
      </c>
    </row>
    <row r="28" ht="30" customHeight="1">
      <c r="A28" s="20" t="n">
        <v>20</v>
      </c>
      <c r="B28" s="8">
        <f>IF('1 · Gate Inventory'!B25="","",'1 · Gate Inventory'!B25)</f>
        <v/>
      </c>
      <c r="C28" s="23">
        <f>IF('1 · Gate Inventory'!K25="","",'1 · Gate Inventory'!K25)</f>
        <v/>
      </c>
      <c r="D28" s="23">
        <f>IF('1 · Gate Inventory'!H25="","",'1 · Gate Inventory'!H25)</f>
        <v/>
      </c>
      <c r="E28" s="22" t="n"/>
      <c r="F28" s="22" t="n"/>
      <c r="G28" s="21" t="n"/>
      <c r="H28" s="21" t="n"/>
      <c r="I28" s="22" t="n"/>
      <c r="J28" s="21" t="n"/>
      <c r="K28" s="21" t="n"/>
      <c r="L28" s="22" t="n"/>
      <c r="M28" s="22" t="n"/>
      <c r="N28" s="22" t="n"/>
      <c r="O28" s="21" t="n"/>
      <c r="P28" s="21" t="n"/>
      <c r="Q28" s="23">
        <f>IF(C28="","",IF(R28="","Ready","Not ready"))</f>
        <v/>
      </c>
      <c r="R28" s="8">
        <f>IF(C28="","",IF(C28="Block",IF(OR(E28="",E28&lt;1),"No trials set",IF(F28="","Trials that must pass not set",IF(F28&lt;E28,"Trials that must pass is lower than trials",IF(F28&gt;E28,"Trials that must pass is more than trials",IF(AND(D28&lt;&gt;"Yes",E28&lt;IF($C$5="",3,$C$5)),"Fewer trials than the minimum for non-deterministic cases",""))))),IF(C28="Human decides",IF(G28="","No owner",IF(I28&lt;&gt;"Yes","No halt criteria","")),IF(C28="Check downstream",IF(J28="","No downstream system named",IF(K28="","No team named for its pipeline",IF(L28="Partial","Output contract only partial",IF(L28&lt;&gt;"Yes","No output contract",IF(M28&lt;&gt;"Yes","Contract not verified before deploy",IF(N28&lt;&gt;"Yes","Cannot switch on together",IF(O28="","Nobody named who can halt",""))))))),IF(C28="Track",IF(P28="","No owner",""),"")))))</f>
        <v/>
      </c>
    </row>
    <row r="30" ht="26" customHeight="1">
      <c r="A30" s="24" t="inlineStr">
        <is>
          <t>Summary</t>
        </is>
      </c>
    </row>
    <row r="31">
      <c r="A31" s="26" t="inlineStr">
        <is>
          <t>BY ROUTE</t>
        </is>
      </c>
      <c r="B31" s="27" t="n"/>
      <c r="C31" s="27" t="inlineStr">
        <is>
          <t>Cases</t>
        </is>
      </c>
      <c r="D31" s="27" t="inlineStr">
        <is>
          <t>Ready</t>
        </is>
      </c>
    </row>
    <row r="32" ht="22" customHeight="1">
      <c r="B32" s="28" t="inlineStr">
        <is>
          <t>Block</t>
        </is>
      </c>
      <c r="C32" s="29">
        <f>COUNTIF(C9:C28,"Block")</f>
        <v/>
      </c>
      <c r="D32" s="29">
        <f>COUNTIFS(C9:C28,"Block",Q9:Q28,"Ready")</f>
        <v/>
      </c>
    </row>
    <row r="33" ht="22" customHeight="1">
      <c r="B33" s="31" t="inlineStr">
        <is>
          <t>Human decides</t>
        </is>
      </c>
      <c r="C33" s="29">
        <f>COUNTIF(C9:C28,"Human decides")</f>
        <v/>
      </c>
      <c r="D33" s="29">
        <f>COUNTIFS(C9:C28,"Human decides",Q9:Q28,"Ready")</f>
        <v/>
      </c>
    </row>
    <row r="34" ht="22" customHeight="1">
      <c r="B34" s="32" t="inlineStr">
        <is>
          <t>Check downstream</t>
        </is>
      </c>
      <c r="C34" s="29">
        <f>COUNTIF(C9:C28,"Check downstream")</f>
        <v/>
      </c>
      <c r="D34" s="29">
        <f>COUNTIFS(C9:C28,"Check downstream",Q9:Q28,"Ready")</f>
        <v/>
      </c>
    </row>
    <row r="35" ht="22" customHeight="1">
      <c r="B35" s="33" t="inlineStr">
        <is>
          <t>Track</t>
        </is>
      </c>
      <c r="C35" s="29">
        <f>COUNTIF(C9:C28,"Track")</f>
        <v/>
      </c>
      <c r="D35" s="29">
        <f>COUNTIFS(C9:C28,"Track",Q9:Q28,"Ready")</f>
        <v/>
      </c>
    </row>
    <row r="37" ht="24" customHeight="1">
      <c r="A37" s="13" t="inlineStr">
        <is>
          <t>Routes not ready</t>
        </is>
      </c>
      <c r="C37" s="25">
        <f>COUNTIF(Q9:Q28,"Not ready")</f>
        <v/>
      </c>
      <c r="D37" s="19" t="inlineStr">
        <is>
          <t>Column R names the first thing missing on each.</t>
        </is>
      </c>
    </row>
    <row r="38" ht="24" customHeight="1">
      <c r="A38" s="13" t="inlineStr">
        <is>
          <t>Block cases not ready</t>
        </is>
      </c>
      <c r="C38" s="25">
        <f>COUNTIFS(C9:C28,"Block",Q9:Q28,"Not ready")</f>
        <v/>
      </c>
    </row>
    <row r="39" ht="24" customHeight="1">
      <c r="A39" s="13" t="inlineStr">
        <is>
          <t>Human cases not ready</t>
        </is>
      </c>
      <c r="C39" s="25">
        <f>COUNTIFS(C9:C28,"Human decides",Q9:Q28,"Not ready")</f>
        <v/>
      </c>
    </row>
    <row r="40" ht="24" customHeight="1">
      <c r="A40" s="13" t="inlineStr">
        <is>
          <t>Human cases with no backup owner</t>
        </is>
      </c>
      <c r="C40" s="25">
        <f>SUMPRODUCT((C9:C28="Human decides")*(H9:H28=""))</f>
        <v/>
      </c>
      <c r="D40" s="19" t="inlineStr">
        <is>
          <t>Scored by check 6, not by Route ready.</t>
        </is>
      </c>
    </row>
    <row r="41" ht="24" customHeight="1">
      <c r="A41" s="13" t="inlineStr">
        <is>
          <t>Downstream cases without a verified contract</t>
        </is>
      </c>
      <c r="C41" s="25">
        <f>SUMPRODUCT((C9:C28="Check downstream")*(((L9:L28&lt;&gt;"Yes")+(M9:M28&lt;&gt;"Yes"))&gt;0))</f>
        <v/>
      </c>
      <c r="D41" s="19" t="inlineStr">
        <is>
          <t>The contract is not Yes, or the downstream side does not verify it before deploying.</t>
        </is>
      </c>
    </row>
  </sheetData>
  <sheetProtection selectLockedCells="0" selectUnlockedCells="0" sheet="1" objects="0" insertRows="1" insertHyperlinks="1" autoFilter="1" scenarios="0" formatColumns="0" deleteColumns="1" insertColumns="1" pivotTables="1" deleteRows="1" formatCells="1" formatRows="0" sort="1"/>
  <mergeCells count="15">
    <mergeCell ref="A3:R3"/>
    <mergeCell ref="A38:B38"/>
    <mergeCell ref="J7:O7"/>
    <mergeCell ref="E7:F7"/>
    <mergeCell ref="A2:R2"/>
    <mergeCell ref="D5:I5"/>
    <mergeCell ref="D37:I37"/>
    <mergeCell ref="D40:I40"/>
    <mergeCell ref="A41:B41"/>
    <mergeCell ref="A5:B5"/>
    <mergeCell ref="A37:B37"/>
    <mergeCell ref="D41:I41"/>
    <mergeCell ref="A40:B40"/>
    <mergeCell ref="G7:I7"/>
    <mergeCell ref="A39:B39"/>
  </mergeCells>
  <conditionalFormatting sqref="E9:F28">
    <cfRule type="expression" priority="1" dxfId="5">
      <formula>$C9&lt;&gt;"Block"</formula>
    </cfRule>
  </conditionalFormatting>
  <conditionalFormatting sqref="G9:I28">
    <cfRule type="expression" priority="2" dxfId="5">
      <formula>$C9&lt;&gt;"Human decides"</formula>
    </cfRule>
  </conditionalFormatting>
  <conditionalFormatting sqref="J9:O28">
    <cfRule type="expression" priority="3" dxfId="5">
      <formula>$C9&lt;&gt;"Check downstream"</formula>
    </cfRule>
  </conditionalFormatting>
  <conditionalFormatting sqref="P9:P28">
    <cfRule type="expression" priority="4" dxfId="5">
      <formula>$C9&lt;&gt;"Track"</formula>
    </cfRule>
  </conditionalFormatting>
  <conditionalFormatting sqref="C9:C28">
    <cfRule type="expression" priority="5" dxfId="0">
      <formula>C9="Block"</formula>
    </cfRule>
    <cfRule type="expression" priority="6" dxfId="1">
      <formula>C9="Human decides"</formula>
    </cfRule>
    <cfRule type="expression" priority="7" dxfId="2">
      <formula>C9="Check downstream"</formula>
    </cfRule>
    <cfRule type="expression" priority="8" dxfId="3">
      <formula>C9="Track"</formula>
    </cfRule>
  </conditionalFormatting>
  <conditionalFormatting sqref="Q9:Q28">
    <cfRule type="expression" priority="9" dxfId="6">
      <formula>Q9="Ready"</formula>
    </cfRule>
    <cfRule type="expression" priority="10" dxfId="0">
      <formula>Q9="Not ready"</formula>
    </cfRule>
  </conditionalFormatting>
  <conditionalFormatting sqref="C37">
    <cfRule type="expression" priority="11" dxfId="4">
      <formula>C37&gt;0</formula>
    </cfRule>
  </conditionalFormatting>
  <dataValidations count="7">
    <dataValidation sqref="C5" showDropDown="0" showInputMessage="0" showErrorMessage="0" allowBlank="0" errorTitle="Minimum trials" error="Enter a whole number of 1 or more." type="whole" operator="greaterThanOrEqual">
      <formula1>1</formula1>
    </dataValidation>
    <dataValidation sqref="I9 I10 I11 I12 I13 I14 I15 I16 I17 I18 I19 I20 I21 I22 I23 I24 I25 I26 I27 I28 M9 M10 M11 M12 M13 M14 M15 M16 M17 M18 M19 M20 M21 M22 M23 M24 M25 M26 M27 M28 N9 N10 N11 N12 N13 N14 N15 N16 N17 N18 N19 N20 N21 N22 N23 N24 N25 N26 N27 N28" showDropDown="0" showInputMessage="0" showErrorMessage="0" allowBlank="1" errorTitle="Not an option" error="Pick one of the options in the list." type="list">
      <formula1>$Z$1:$Z$2</formula1>
    </dataValidation>
    <dataValidation sqref="L9 L10 L11 L12 L13 L14 L15 L16 L17 L18 L19 L20 L21 L22 L23 L24 L25 L26 L27 L28" showDropDown="0" showInputMessage="0" showErrorMessage="0" allowBlank="1" errorTitle="Not an option" error="Pick one of the options in the list." type="list">
      <formula1>$Z$4:$Z$6</formula1>
    </dataValidation>
    <dataValidation sqref="E9 E10 E11 E12 E13 E14 E15 E16 E17 E18 E19 E20 E21 E22 E23 E24 E25 E26 E27 E28 F9 F10 F11 F12 F13 F14 F15 F16 F17 F18 F19 F20 F21 F22 F23 F24 F25 F26 F27 F28" showDropDown="0" showInputMessage="0" showErrorMessage="0" allowBlank="1" errorTitle="Trials" error="Enter a whole number of trials." type="whole" operator="greaterThanOrEqual">
      <formula1>0</formula1>
    </dataValidation>
    <dataValidation sqref="G9 G10 G11 G12 G13 G14 G15 G16 G17 G18 G19 G20 G21 G22 G23 G24 G25 G26 G27 G28 H9 H10 H11 H12 H13 H14 H15 H16 H17 H18 H19 H20 H21 H22 H23 H24 H25 H26 H27 H28" showDropDown="0" showInputMessage="0" showErrorMessage="0" allowBlank="1" errorTitle="Not this route" error="This column is for Human decides cases. Change the route on the Gate Inventory first." type="custom">
      <formula1>$C9="Human decides"</formula1>
    </dataValidation>
    <dataValidation sqref="J9 J10 J11 J12 J13 J14 J15 J16 J17 J18 J19 J20 J21 J22 J23 J24 J25 J26 J27 J28 K9 K10 K11 K12 K13 K14 K15 K16 K17 K18 K19 K20 K21 K22 K23 K24 K25 K26 K27 K28 O9 O10 O11 O12 O13 O14 O15 O16 O17 O18 O19 O20 O21 O22 O23 O24 O25 O26 O27 O28" showDropDown="0" showInputMessage="0" showErrorMessage="0" allowBlank="1" errorTitle="Not this route" error="This column is for Check downstream cases. Change the route on the Gate Inventory first." type="custom">
      <formula1>$C9="Check downstream"</formula1>
    </dataValidation>
    <dataValidation sqref="P9 P10 P11 P12 P13 P14 P15 P16 P17 P18 P19 P20 P21 P22 P23 P24 P25 P26 P27 P28" showDropDown="0" showInputMessage="0" showErrorMessage="0" allowBlank="1" errorTitle="Not this route" error="This column is for Track cases. Change the route on the Gate Inventory first." type="custom">
      <formula1>$C9="Track"</formula1>
    </dataValidation>
  </dataValidation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183D32"/>
    <outlinePr summaryBelow="1" summaryRight="1"/>
    <pageSetUpPr fitToPage="1"/>
  </sheetPr>
  <dimension ref="A1:Z20"/>
  <sheetViews>
    <sheetView showGridLines="0" workbookViewId="0">
      <pane ySplit="10" topLeftCell="A11" activePane="bottomLeft" state="frozen"/>
      <selection pane="bottomLeft" activeCell="A1" sqref="A1"/>
    </sheetView>
  </sheetViews>
  <sheetFormatPr baseColWidth="8" defaultRowHeight="15"/>
  <cols>
    <col width="7" customWidth="1" min="1" max="1"/>
    <col width="34" customWidth="1" min="2" max="2"/>
    <col width="26" customWidth="1" min="3" max="3"/>
    <col width="24" customWidth="1" min="4" max="4"/>
    <col width="13" customWidth="1" min="5" max="5"/>
    <col width="10" customWidth="1" min="6" max="6"/>
    <col width="12" customWidth="1" min="7" max="7"/>
    <col width="48" customWidth="1" min="8" max="8"/>
    <col hidden="1" width="13" customWidth="1" min="25" max="25"/>
    <col hidden="1" width="13" customWidth="1" min="26" max="26"/>
  </cols>
  <sheetData>
    <row r="1" ht="28" customHeight="1">
      <c r="A1" s="18" t="inlineStr">
        <is>
          <t>3 · Checklist</t>
        </is>
      </c>
      <c r="Z1" s="14" t="inlineStr">
        <is>
          <t>Yes</t>
        </is>
      </c>
    </row>
    <row r="2" ht="20" customHeight="1">
      <c r="A2" s="3" t="inlineStr">
        <is>
          <t>Is the gate ready to decide releases?</t>
        </is>
      </c>
      <c r="Z2" s="14" t="inlineStr">
        <is>
          <t>Partial</t>
        </is>
      </c>
    </row>
    <row r="3" ht="28" customHeight="1">
      <c r="A3" s="19" t="inlineStr">
        <is>
          <t>Answer each check from evidence, not from memory. The four marked ★ are critical: a No on any one of them is a Hold.</t>
        </is>
      </c>
      <c r="Z3" s="14" t="inlineStr">
        <is>
          <t>No</t>
        </is>
      </c>
    </row>
    <row r="5" ht="34" customHeight="1">
      <c r="A5" s="34" t="inlineStr">
        <is>
          <t>Decision</t>
        </is>
      </c>
      <c r="C5" s="39">
        <f>IF(OR(E11="No",E13="No",E15="No",E18="No"),"Hold",IF(COUNTA(E11:E20)&lt;10,"",IF(AND(SUM(F11:F20)&gt;=16,NOT(OR(E11="Partial",E13="Partial",E15="Partial",E18="Partial"))),"Ready","Fix first")))</f>
        <v/>
      </c>
      <c r="D5" s="13">
        <f>IF(C5="Hold","Don’t let this gate decide releases yet.",IF(C5="Fix first","No critical check is answered No, but the total is under 16 or a critical check is only Partial.",IF(C5="Ready","Every critical check is answered Yes, and the total is 16 or more.",IF(COUNTA(E11:E20)=0,"","Answer all 10 checks to see the decision."))))</f>
        <v/>
      </c>
    </row>
    <row r="6" ht="24" customHeight="1">
      <c r="A6" s="13" t="inlineStr">
        <is>
          <t>Total</t>
        </is>
      </c>
      <c r="C6" s="25">
        <f>SUM(F11:F20)</f>
        <v/>
      </c>
      <c r="D6" s="19" t="inlineStr">
        <is>
          <t>out of 20. Yes scores 2, Partial 1, No 0. Ready needs 16 or more and every critical check answered Yes.</t>
        </is>
      </c>
    </row>
    <row r="7" ht="24" customHeight="1">
      <c r="A7" s="13" t="inlineStr">
        <is>
          <t>Checks answered</t>
        </is>
      </c>
      <c r="C7" s="25">
        <f>COUNTA(E11:E20)</f>
        <v/>
      </c>
      <c r="D7" s="19" t="inlineStr">
        <is>
          <t>out of 10</t>
        </is>
      </c>
    </row>
    <row r="8" ht="40" customHeight="1">
      <c r="A8" s="34" t="inlineStr">
        <is>
          <t>Your next step</t>
        </is>
      </c>
      <c r="C8" s="8">
        <f>IF(MIN(Y11:Y20)&lt;9,INDEX(B11:B20,MATCH(MIN(Y11:Y20),Y11:Y20,0)),IF(COUNTA(E11:E20)=10,"No open items.",""))</f>
        <v/>
      </c>
    </row>
    <row r="10" ht="32" customHeight="1">
      <c r="A10" s="6" t="inlineStr">
        <is>
          <t>#</t>
        </is>
      </c>
      <c r="B10" s="6" t="inlineStr">
        <is>
          <t>Check</t>
        </is>
      </c>
      <c r="E10" s="6" t="inlineStr">
        <is>
          <t>Answer</t>
        </is>
      </c>
      <c r="F10" s="6" t="inlineStr">
        <is>
          <t>Points</t>
        </is>
      </c>
      <c r="G10" s="6" t="inlineStr">
        <is>
          <t>Status</t>
        </is>
      </c>
      <c r="H10" s="6" t="inlineStr">
        <is>
          <t>Evidence from the other tabs</t>
        </is>
      </c>
    </row>
    <row r="11" ht="36" customHeight="1">
      <c r="A11" s="23" t="inlineStr">
        <is>
          <t>1 ★</t>
        </is>
      </c>
      <c r="B11" s="8" t="inlineStr">
        <is>
          <t>Every gate case has a route.</t>
        </is>
      </c>
      <c r="C11" s="40" t="n"/>
      <c r="D11" s="40" t="n"/>
      <c r="E11" s="22" t="n"/>
      <c r="F11" s="23">
        <f>IF(E11="Yes",2,IF(E11="Partial",1,IF(E11="No",0,"")))</f>
        <v/>
      </c>
      <c r="G11" s="23">
        <f>IF(E11="Yes","Pass",IF(E11="Partial","Partial",IF(E11="No","Fail","")))</f>
        <v/>
      </c>
      <c r="H11" s="41">
        <f>"Unrouted cases (Tab 1): "&amp;'1 · Gate Inventory'!C36</f>
        <v/>
      </c>
      <c r="Y11" s="16">
        <f>IF(E11="No",1,IF(E11="Partial",3,9))</f>
        <v/>
      </c>
    </row>
    <row r="12" ht="36" customHeight="1">
      <c r="A12" s="20" t="n">
        <v>2</v>
      </c>
      <c r="B12" s="8" t="inlineStr">
        <is>
          <t>Every route that differs from the suggestion has a written reason.</t>
        </is>
      </c>
      <c r="C12" s="40" t="n"/>
      <c r="D12" s="40" t="n"/>
      <c r="E12" s="22" t="n"/>
      <c r="F12" s="23">
        <f>IF(E12="Yes",2,IF(E12="Partial",1,IF(E12="No",0,"")))</f>
        <v/>
      </c>
      <c r="G12" s="23">
        <f>IF(E12="Yes","Pass",IF(E12="Partial","Partial",IF(E12="No","Fail","")))</f>
        <v/>
      </c>
      <c r="H12" s="41">
        <f>"Overrides with no reason (Tab 1): "&amp;'1 · Gate Inventory'!C38</f>
        <v/>
      </c>
      <c r="Y12" s="16">
        <f>IF(E12="No",2,IF(E12="Partial",4,9))</f>
        <v/>
      </c>
    </row>
    <row r="13" ht="36" customHeight="1">
      <c r="A13" s="23" t="inlineStr">
        <is>
          <t>3 ★</t>
        </is>
      </c>
      <c r="B13" s="8" t="inlineStr">
        <is>
          <t>Block cases on non-deterministic behaviour run several trials and require every trial to pass.</t>
        </is>
      </c>
      <c r="C13" s="40" t="n"/>
      <c r="D13" s="40" t="n"/>
      <c r="E13" s="22" t="n"/>
      <c r="F13" s="23">
        <f>IF(E13="Yes",2,IF(E13="Partial",1,IF(E13="No",0,"")))</f>
        <v/>
      </c>
      <c r="G13" s="23">
        <f>IF(E13="Yes","Pass",IF(E13="Partial","Partial",IF(E13="No","Fail","")))</f>
        <v/>
      </c>
      <c r="H13" s="41">
        <f>"Block cases not ready (Tab 2): "&amp;'2 · Route Requirements'!C38</f>
        <v/>
      </c>
      <c r="Y13" s="16">
        <f>IF(E13="No",1,IF(E13="Partial",3,9))</f>
        <v/>
      </c>
    </row>
    <row r="14" ht="26" customHeight="1">
      <c r="A14" s="20" t="n">
        <v>4</v>
      </c>
      <c r="B14" s="8" t="inlineStr">
        <is>
          <t>Capability cases are tracked, not used to block a release.</t>
        </is>
      </c>
      <c r="C14" s="40" t="n"/>
      <c r="D14" s="40" t="n"/>
      <c r="E14" s="22" t="n"/>
      <c r="F14" s="23">
        <f>IF(E14="Yes",2,IF(E14="Partial",1,IF(E14="No",0,"")))</f>
        <v/>
      </c>
      <c r="G14" s="23">
        <f>IF(E14="Yes","Pass",IF(E14="Partial","Partial",IF(E14="No","Fail","")))</f>
        <v/>
      </c>
      <c r="H14" s="40" t="n"/>
      <c r="Y14" s="16">
        <f>IF(E14="No",2,IF(E14="Partial",4,9))</f>
        <v/>
      </c>
    </row>
    <row r="15" ht="36" customHeight="1">
      <c r="A15" s="23" t="inlineStr">
        <is>
          <t>5 ★</t>
        </is>
      </c>
      <c r="B15" s="8" t="inlineStr">
        <is>
          <t>Every Human decides case has a named owner and halt criteria written before the release.</t>
        </is>
      </c>
      <c r="C15" s="40" t="n"/>
      <c r="D15" s="40" t="n"/>
      <c r="E15" s="22" t="n"/>
      <c r="F15" s="23">
        <f>IF(E15="Yes",2,IF(E15="Partial",1,IF(E15="No",0,"")))</f>
        <v/>
      </c>
      <c r="G15" s="23">
        <f>IF(E15="Yes","Pass",IF(E15="Partial","Partial",IF(E15="No","Fail","")))</f>
        <v/>
      </c>
      <c r="H15" s="41">
        <f>"Human cases not ready (Tab 2): "&amp;'2 · Route Requirements'!C39</f>
        <v/>
      </c>
      <c r="Y15" s="16">
        <f>IF(E15="No",1,IF(E15="Partial",3,9))</f>
        <v/>
      </c>
    </row>
    <row r="16" ht="36" customHeight="1">
      <c r="A16" s="20" t="n">
        <v>6</v>
      </c>
      <c r="B16" s="8" t="inlineStr">
        <is>
          <t>Every Human decides case has a backup owner, so a release never waits on one person.</t>
        </is>
      </c>
      <c r="C16" s="40" t="n"/>
      <c r="D16" s="40" t="n"/>
      <c r="E16" s="22" t="n"/>
      <c r="F16" s="23">
        <f>IF(E16="Yes",2,IF(E16="Partial",1,IF(E16="No",0,"")))</f>
        <v/>
      </c>
      <c r="G16" s="23">
        <f>IF(E16="Yes","Pass",IF(E16="Partial","Partial",IF(E16="No","Fail","")))</f>
        <v/>
      </c>
      <c r="H16" s="41">
        <f>"Human cases with no backup owner (Tab 2): "&amp;'2 · Route Requirements'!C40</f>
        <v/>
      </c>
      <c r="Y16" s="16">
        <f>IF(E16="No",2,IF(E16="Partial",4,9))</f>
        <v/>
      </c>
    </row>
    <row r="17" ht="35" customHeight="1">
      <c r="A17" s="20" t="n">
        <v>7</v>
      </c>
      <c r="B17" s="8" t="inlineStr">
        <is>
          <t>Every Check downstream case names the system that acts on the output and the team that owns its pipeline.</t>
        </is>
      </c>
      <c r="C17" s="40" t="n"/>
      <c r="D17" s="40" t="n"/>
      <c r="E17" s="22" t="n"/>
      <c r="F17" s="23">
        <f>IF(E17="Yes",2,IF(E17="Partial",1,IF(E17="No",0,"")))</f>
        <v/>
      </c>
      <c r="G17" s="23">
        <f>IF(E17="Yes","Pass",IF(E17="Partial","Partial",IF(E17="No","Fail","")))</f>
        <v/>
      </c>
      <c r="H17" s="40" t="n"/>
      <c r="Y17" s="16">
        <f>IF(E17="No",2,IF(E17="Partial",4,9))</f>
        <v/>
      </c>
    </row>
    <row r="18" ht="36" customHeight="1">
      <c r="A18" s="23" t="inlineStr">
        <is>
          <t>8 ★</t>
        </is>
      </c>
      <c r="B18" s="8" t="inlineStr">
        <is>
          <t>The agent’s output has a contract that the downstream system verifies before either side deploys.</t>
        </is>
      </c>
      <c r="C18" s="40" t="n"/>
      <c r="D18" s="40" t="n"/>
      <c r="E18" s="22" t="n"/>
      <c r="F18" s="23">
        <f>IF(E18="Yes",2,IF(E18="Partial",1,IF(E18="No",0,"")))</f>
        <v/>
      </c>
      <c r="G18" s="23">
        <f>IF(E18="Yes","Pass",IF(E18="Partial","Partial",IF(E18="No","Fail","")))</f>
        <v/>
      </c>
      <c r="H18" s="41">
        <f>"Downstream cases without a verified contract (Tab 2): "&amp;'2 · Route Requirements'!C41</f>
        <v/>
      </c>
      <c r="Y18" s="16">
        <f>IF(E18="No",1,IF(E18="Partial",3,9))</f>
        <v/>
      </c>
    </row>
    <row r="19" ht="35" customHeight="1">
      <c r="A19" s="20" t="n">
        <v>9</v>
      </c>
      <c r="B19" s="8" t="inlineStr">
        <is>
          <t>New agent behaviour can be switched on together with the downstream system, and switched off without a redeploy.</t>
        </is>
      </c>
      <c r="C19" s="40" t="n"/>
      <c r="D19" s="40" t="n"/>
      <c r="E19" s="22" t="n"/>
      <c r="F19" s="23">
        <f>IF(E19="Yes",2,IF(E19="Partial",1,IF(E19="No",0,"")))</f>
        <v/>
      </c>
      <c r="G19" s="23">
        <f>IF(E19="Yes","Pass",IF(E19="Partial","Partial",IF(E19="No","Fail","")))</f>
        <v/>
      </c>
      <c r="H19" s="40" t="n"/>
      <c r="Y19" s="16">
        <f>IF(E19="No",2,IF(E19="Partial",4,9))</f>
        <v/>
      </c>
    </row>
    <row r="20" ht="35" customHeight="1">
      <c r="A20" s="20" t="n">
        <v>10</v>
      </c>
      <c r="B20" s="8" t="inlineStr">
        <is>
          <t>Changes to the agent’s output are made in expand-then-contract steps, so the old and new shapes work side by side until the downstream system has moved.</t>
        </is>
      </c>
      <c r="C20" s="40" t="n"/>
      <c r="D20" s="40" t="n"/>
      <c r="E20" s="22" t="n"/>
      <c r="F20" s="23">
        <f>IF(E20="Yes",2,IF(E20="Partial",1,IF(E20="No",0,"")))</f>
        <v/>
      </c>
      <c r="G20" s="23">
        <f>IF(E20="Yes","Pass",IF(E20="Partial","Partial",IF(E20="No","Fail","")))</f>
        <v/>
      </c>
      <c r="H20" s="40" t="n"/>
      <c r="Y20" s="16">
        <f>IF(E20="No",2,IF(E20="Partial",4,9))</f>
        <v/>
      </c>
    </row>
  </sheetData>
  <sheetProtection selectLockedCells="0" selectUnlockedCells="0" sheet="1" objects="0" insertRows="1" insertHyperlinks="1" autoFilter="1" scenarios="0" formatColumns="0" deleteColumns="1" insertColumns="1" pivotTables="1" deleteRows="1" formatCells="1" formatRows="0" sort="1"/>
  <mergeCells count="21">
    <mergeCell ref="B11:D11"/>
    <mergeCell ref="B14:D14"/>
    <mergeCell ref="B17:D17"/>
    <mergeCell ref="B13:D13"/>
    <mergeCell ref="A6:B6"/>
    <mergeCell ref="B10:D10"/>
    <mergeCell ref="B19:D19"/>
    <mergeCell ref="D6:H6"/>
    <mergeCell ref="A7:B7"/>
    <mergeCell ref="C8:H8"/>
    <mergeCell ref="B15:D15"/>
    <mergeCell ref="B20:D20"/>
    <mergeCell ref="A3:H3"/>
    <mergeCell ref="D7:H7"/>
    <mergeCell ref="A2:H2"/>
    <mergeCell ref="A5:B5"/>
    <mergeCell ref="A8:B8"/>
    <mergeCell ref="B16:D16"/>
    <mergeCell ref="B18:D18"/>
    <mergeCell ref="D5:H5"/>
    <mergeCell ref="B12:D12"/>
  </mergeCells>
  <conditionalFormatting sqref="G11:G20">
    <cfRule type="expression" priority="1" dxfId="6">
      <formula>G11="Pass"</formula>
    </cfRule>
    <cfRule type="expression" priority="2" dxfId="1">
      <formula>G11="Partial"</formula>
    </cfRule>
    <cfRule type="expression" priority="3" dxfId="0">
      <formula>G11="Fail"</formula>
    </cfRule>
  </conditionalFormatting>
  <conditionalFormatting sqref="C5">
    <cfRule type="expression" priority="4" dxfId="7">
      <formula>C5="Ready"</formula>
    </cfRule>
    <cfRule type="expression" priority="5" dxfId="8">
      <formula>C5="Fix first"</formula>
    </cfRule>
    <cfRule type="expression" priority="6" dxfId="4">
      <formula>C5="Hold"</formula>
    </cfRule>
  </conditionalFormatting>
  <dataValidations count="1">
    <dataValidation sqref="E11 E12 E13 E14 E15 E16 E17 E18 E19 E20" showDropDown="0" showInputMessage="0" showErrorMessage="0" allowBlank="1" errorTitle="Not an option" error="Pick one of the options in the list." type="list">
      <formula1>$Z$1:$Z$3</formula1>
    </dataValidation>
  </dataValidation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B58A46"/>
    <outlinePr summaryBelow="1" summaryRight="1"/>
    <pageSetUpPr fitToPage="1"/>
  </sheetPr>
  <dimension ref="A1:Z105"/>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32" customWidth="1" min="3" max="3"/>
    <col width="24" customWidth="1" min="4" max="4"/>
    <col width="13" customWidth="1" min="5" max="5"/>
    <col width="24" customWidth="1" min="6" max="6"/>
    <col width="22" customWidth="1" min="7" max="7"/>
    <col width="48" customWidth="1" min="8" max="8"/>
    <col width="17" customWidth="1" min="9" max="9"/>
    <col width="20" customWidth="1" min="10" max="10"/>
    <col width="17" customWidth="1" min="11" max="11"/>
    <col width="13" customWidth="1" min="12" max="12"/>
    <col width="32" customWidth="1" min="13" max="13"/>
    <col width="16" customWidth="1" min="14" max="14"/>
    <col width="18" customWidth="1" min="15" max="15"/>
    <col width="22" customWidth="1" min="16" max="16"/>
    <col width="12" customWidth="1" min="17" max="17"/>
    <col width="36" customWidth="1" min="18" max="18"/>
    <col hidden="1" width="13" customWidth="1" min="25" max="25"/>
    <col hidden="1" width="13" customWidth="1" min="26" max="26"/>
  </cols>
  <sheetData>
    <row r="1" ht="30" customHeight="1">
      <c r="A1" s="42" t="inlineStr">
        <is>
          <t>Illustrative example: an order-support agent whose refund recommendations are carried out by a separate payments service. Not a real system, company or real figures.</t>
        </is>
      </c>
      <c r="B1" s="43" t="n"/>
      <c r="C1" s="43" t="n"/>
      <c r="D1" s="43" t="n"/>
      <c r="E1" s="43" t="n"/>
      <c r="F1" s="43" t="n"/>
      <c r="G1" s="43" t="n"/>
      <c r="H1" s="43" t="n"/>
      <c r="I1" s="43" t="n"/>
      <c r="J1" s="43" t="n"/>
      <c r="K1" s="43" t="n"/>
      <c r="L1" s="43" t="n"/>
      <c r="M1" s="43" t="n"/>
      <c r="Z1" s="14" t="inlineStr">
        <is>
          <t>Regression</t>
        </is>
      </c>
    </row>
    <row r="2">
      <c r="Z2" s="14" t="inlineStr">
        <is>
          <t>Capability</t>
        </is>
      </c>
    </row>
    <row r="3" ht="28" customHeight="1">
      <c r="A3" s="18" t="inlineStr">
        <is>
          <t>1 · Gate Inventory</t>
        </is>
      </c>
    </row>
    <row r="4" ht="20" customHeight="1">
      <c r="A4" s="3" t="inlineStr">
        <is>
          <t>Which route does each gate case need?</t>
        </is>
      </c>
      <c r="Z4" s="14" t="inlineStr">
        <is>
          <t>Low</t>
        </is>
      </c>
    </row>
    <row r="5" ht="28" customHeight="1">
      <c r="A5" s="19" t="inlineStr">
        <is>
          <t>One row per gate case or eval suite. Columns D to G suggest a route. Leave “Route chosen” blank to accept the suggestion, or pick another and write down why.</t>
        </is>
      </c>
      <c r="Z5" s="14" t="inlineStr">
        <is>
          <t>Medium</t>
        </is>
      </c>
    </row>
    <row r="6">
      <c r="Z6" s="14" t="inlineStr">
        <is>
          <t>High</t>
        </is>
      </c>
    </row>
    <row r="7" ht="46" customHeight="1">
      <c r="A7" s="6" t="inlineStr">
        <is>
          <t>#</t>
        </is>
      </c>
      <c r="B7" s="6" t="inlineStr">
        <is>
          <t>Case or suite</t>
        </is>
      </c>
      <c r="C7" s="6" t="inlineStr">
        <is>
          <t>What it checks</t>
        </is>
      </c>
      <c r="D7" s="6" t="inlineStr">
        <is>
          <t>Purpose</t>
        </is>
      </c>
      <c r="E7" s="6" t="inlineStr">
        <is>
          <t>Severity if it ships broken</t>
        </is>
      </c>
      <c r="F7" s="6" t="inlineStr">
        <is>
          <t>Who acts on the output</t>
        </is>
      </c>
      <c r="G7" s="6" t="inlineStr">
        <is>
          <t>Can a check decide it unambiguously?</t>
        </is>
      </c>
      <c r="H7" s="6" t="inlineStr">
        <is>
          <t>Deterministic?</t>
        </is>
      </c>
      <c r="I7" s="6" t="inlineStr">
        <is>
          <t>Suggested route</t>
        </is>
      </c>
      <c r="J7" s="6" t="inlineStr">
        <is>
          <t>Route chosen</t>
        </is>
      </c>
      <c r="K7" s="6" t="inlineStr">
        <is>
          <t>Final route</t>
        </is>
      </c>
      <c r="L7" s="6" t="inlineStr">
        <is>
          <t>Differs from suggestion?</t>
        </is>
      </c>
      <c r="M7" s="6" t="inlineStr">
        <is>
          <t>Reason for the difference</t>
        </is>
      </c>
      <c r="Z7" s="14" t="inlineStr">
        <is>
          <t>Critical</t>
        </is>
      </c>
    </row>
    <row r="8" ht="35" customHeight="1">
      <c r="A8" s="20" t="n">
        <v>1</v>
      </c>
      <c r="B8" s="44" t="inlineStr">
        <is>
          <t>Refund amount within policy cap</t>
        </is>
      </c>
      <c r="C8" s="44" t="inlineStr">
        <is>
          <t>The recommended refund never exceeds the cap for the order type</t>
        </is>
      </c>
      <c r="D8" s="45" t="inlineStr">
        <is>
          <t>Regression</t>
        </is>
      </c>
      <c r="E8" s="45" t="inlineStr">
        <is>
          <t>Critical</t>
        </is>
      </c>
      <c r="F8" s="44" t="inlineStr">
        <is>
          <t>Another system with its own pipeline</t>
        </is>
      </c>
      <c r="G8" s="45" t="inlineStr">
        <is>
          <t>Yes</t>
        </is>
      </c>
      <c r="H8" s="45" t="inlineStr">
        <is>
          <t>Yes</t>
        </is>
      </c>
      <c r="I8" s="23">
        <f>IF(OR(B8="",D8="",E8="",F8="",G8=""),"",IF(D8="Capability","Track",IF(F8="Another system with its own pipeline","Check downstream",IF(E8="Low","Track",IF(G8="No","Human decides","Block")))))</f>
        <v/>
      </c>
      <c r="J8" s="45" t="n"/>
      <c r="K8" s="23">
        <f>IF(J8&lt;&gt;"",J8,I8)</f>
        <v/>
      </c>
      <c r="L8" s="23">
        <f>IF(AND(J8&lt;&gt;"",J8&lt;&gt;I8),"Yes","")</f>
        <v/>
      </c>
      <c r="M8" s="44" t="n"/>
    </row>
    <row r="9" ht="49.5" customHeight="1">
      <c r="A9" s="20" t="n">
        <v>2</v>
      </c>
      <c r="B9" s="44" t="inlineStr">
        <is>
          <t>Refund recommendation matches the agreed format</t>
        </is>
      </c>
      <c r="C9" s="44" t="inlineStr">
        <is>
          <t>The recommendation parses against the format the payments service reads</t>
        </is>
      </c>
      <c r="D9" s="45" t="inlineStr">
        <is>
          <t>Regression</t>
        </is>
      </c>
      <c r="E9" s="45" t="inlineStr">
        <is>
          <t>High</t>
        </is>
      </c>
      <c r="F9" s="44" t="inlineStr">
        <is>
          <t>Another system with its own pipeline</t>
        </is>
      </c>
      <c r="G9" s="45" t="inlineStr">
        <is>
          <t>Yes</t>
        </is>
      </c>
      <c r="H9" s="45" t="inlineStr">
        <is>
          <t>Yes</t>
        </is>
      </c>
      <c r="I9" s="23">
        <f>IF(OR(B9="",D9="",E9="",F9="",G9=""),"",IF(D9="Capability","Track",IF(F9="Another system with its own pipeline","Check downstream",IF(E9="Low","Track",IF(G9="No","Human decides","Block")))))</f>
        <v/>
      </c>
      <c r="J9" s="45" t="n"/>
      <c r="K9" s="23">
        <f>IF(J9&lt;&gt;"",J9,I9)</f>
        <v/>
      </c>
      <c r="L9" s="23">
        <f>IF(AND(J9&lt;&gt;"",J9&lt;&gt;I9),"Yes","")</f>
        <v/>
      </c>
      <c r="M9" s="44" t="n"/>
      <c r="Z9" s="14" t="inlineStr">
        <is>
          <t>User directly</t>
        </is>
      </c>
    </row>
    <row r="10" ht="35" customHeight="1">
      <c r="A10" s="20" t="n">
        <v>3</v>
      </c>
      <c r="B10" s="44" t="inlineStr">
        <is>
          <t>Picks the right order from the conversation</t>
        </is>
      </c>
      <c r="C10" s="44" t="inlineStr">
        <is>
          <t>The order the agent acts on is the one the customer meant</t>
        </is>
      </c>
      <c r="D10" s="45" t="inlineStr">
        <is>
          <t>Regression</t>
        </is>
      </c>
      <c r="E10" s="45" t="inlineStr">
        <is>
          <t>High</t>
        </is>
      </c>
      <c r="F10" s="44" t="inlineStr">
        <is>
          <t>User directly</t>
        </is>
      </c>
      <c r="G10" s="45" t="inlineStr">
        <is>
          <t>Yes</t>
        </is>
      </c>
      <c r="H10" s="45" t="inlineStr">
        <is>
          <t>No</t>
        </is>
      </c>
      <c r="I10" s="23">
        <f>IF(OR(B10="",D10="",E10="",F10="",G10=""),"",IF(D10="Capability","Track",IF(F10="Another system with its own pipeline","Check downstream",IF(E10="Low","Track",IF(G10="No","Human decides","Block")))))</f>
        <v/>
      </c>
      <c r="J10" s="45" t="n"/>
      <c r="K10" s="23">
        <f>IF(J10&lt;&gt;"",J10,I10)</f>
        <v/>
      </c>
      <c r="L10" s="23">
        <f>IF(AND(J10&lt;&gt;"",J10&lt;&gt;I10),"Yes","")</f>
        <v/>
      </c>
      <c r="M10" s="44" t="n"/>
      <c r="Z10" s="14" t="inlineStr">
        <is>
          <t>Another system in our pipeline</t>
        </is>
      </c>
    </row>
    <row r="11" ht="35" customHeight="1">
      <c r="A11" s="20" t="n">
        <v>4</v>
      </c>
      <c r="B11" s="44" t="inlineStr">
        <is>
          <t>Declines refunds on accounts held for fraud review</t>
        </is>
      </c>
      <c r="C11" s="44" t="inlineStr">
        <is>
          <t>No refund is recommended while an account is on hold</t>
        </is>
      </c>
      <c r="D11" s="45" t="inlineStr">
        <is>
          <t>Regression</t>
        </is>
      </c>
      <c r="E11" s="45" t="inlineStr">
        <is>
          <t>Critical</t>
        </is>
      </c>
      <c r="F11" s="44" t="inlineStr">
        <is>
          <t>User directly</t>
        </is>
      </c>
      <c r="G11" s="45" t="inlineStr">
        <is>
          <t>No</t>
        </is>
      </c>
      <c r="H11" s="45" t="inlineStr">
        <is>
          <t>No</t>
        </is>
      </c>
      <c r="I11" s="23">
        <f>IF(OR(B11="",D11="",E11="",F11="",G11=""),"",IF(D11="Capability","Track",IF(F11="Another system with its own pipeline","Check downstream",IF(E11="Low","Track",IF(G11="No","Human decides","Block")))))</f>
        <v/>
      </c>
      <c r="J11" s="45" t="n"/>
      <c r="K11" s="23">
        <f>IF(J11&lt;&gt;"",J11,I11)</f>
        <v/>
      </c>
      <c r="L11" s="23">
        <f>IF(AND(J11&lt;&gt;"",J11&lt;&gt;I11),"Yes","")</f>
        <v/>
      </c>
      <c r="M11" s="44" t="n"/>
      <c r="Z11" s="14" t="inlineStr">
        <is>
          <t>Another system with its own pipeline</t>
        </is>
      </c>
    </row>
    <row r="12" ht="30" customHeight="1">
      <c r="A12" s="20" t="n">
        <v>5</v>
      </c>
      <c r="B12" s="44" t="inlineStr">
        <is>
          <t>Tone of the customer reply</t>
        </is>
      </c>
      <c r="C12" s="44" t="inlineStr">
        <is>
          <t>The reply is polite and plain</t>
        </is>
      </c>
      <c r="D12" s="45" t="inlineStr">
        <is>
          <t>Regression</t>
        </is>
      </c>
      <c r="E12" s="45" t="inlineStr">
        <is>
          <t>Low</t>
        </is>
      </c>
      <c r="F12" s="44" t="inlineStr">
        <is>
          <t>User directly</t>
        </is>
      </c>
      <c r="G12" s="45" t="inlineStr">
        <is>
          <t>No</t>
        </is>
      </c>
      <c r="H12" s="45" t="inlineStr">
        <is>
          <t>No</t>
        </is>
      </c>
      <c r="I12" s="23">
        <f>IF(OR(B12="",D12="",E12="",F12="",G12=""),"",IF(D12="Capability","Track",IF(F12="Another system with its own pipeline","Check downstream",IF(E12="Low","Track",IF(G12="No","Human decides","Block")))))</f>
        <v/>
      </c>
      <c r="J12" s="45" t="n"/>
      <c r="K12" s="23">
        <f>IF(J12&lt;&gt;"",J12,I12)</f>
        <v/>
      </c>
      <c r="L12" s="23">
        <f>IF(AND(J12&lt;&gt;"",J12&lt;&gt;I12),"Yes","")</f>
        <v/>
      </c>
      <c r="M12" s="44" t="n"/>
    </row>
    <row r="13" ht="35" customHeight="1">
      <c r="A13" s="20" t="n">
        <v>6</v>
      </c>
      <c r="B13" s="44" t="inlineStr">
        <is>
          <t>Resolves complaints that span several orders</t>
        </is>
      </c>
      <c r="C13" s="44" t="inlineStr">
        <is>
          <t>One reply settles a complaint about more than one order</t>
        </is>
      </c>
      <c r="D13" s="45" t="inlineStr">
        <is>
          <t>Capability</t>
        </is>
      </c>
      <c r="E13" s="45" t="inlineStr">
        <is>
          <t>High</t>
        </is>
      </c>
      <c r="F13" s="44" t="inlineStr">
        <is>
          <t>User directly</t>
        </is>
      </c>
      <c r="G13" s="45" t="inlineStr">
        <is>
          <t>Yes</t>
        </is>
      </c>
      <c r="H13" s="45" t="inlineStr">
        <is>
          <t>No</t>
        </is>
      </c>
      <c r="I13" s="23">
        <f>IF(OR(B13="",D13="",E13="",F13="",G13=""),"",IF(D13="Capability","Track",IF(F13="Another system with its own pipeline","Check downstream",IF(E13="Low","Track",IF(G13="No","Human decides","Block")))))</f>
        <v/>
      </c>
      <c r="J13" s="45" t="n"/>
      <c r="K13" s="23">
        <f>IF(J13&lt;&gt;"",J13,I13)</f>
        <v/>
      </c>
      <c r="L13" s="23">
        <f>IF(AND(J13&lt;&gt;"",J13&lt;&gt;I13),"Yes","")</f>
        <v/>
      </c>
      <c r="M13" s="44" t="n"/>
      <c r="Z13" s="14" t="inlineStr">
        <is>
          <t>Yes</t>
        </is>
      </c>
    </row>
    <row r="14" ht="49.5" customHeight="1">
      <c r="A14" s="20" t="n">
        <v>7</v>
      </c>
      <c r="B14" s="44" t="inlineStr">
        <is>
          <t>Escalation note to the support team</t>
        </is>
      </c>
      <c r="C14" s="44" t="inlineStr">
        <is>
          <t>The note carries the order, the issue and what the agent already tried</t>
        </is>
      </c>
      <c r="D14" s="45" t="inlineStr">
        <is>
          <t>Regression</t>
        </is>
      </c>
      <c r="E14" s="45" t="inlineStr">
        <is>
          <t>Medium</t>
        </is>
      </c>
      <c r="F14" s="44" t="inlineStr">
        <is>
          <t>Another system in our pipeline</t>
        </is>
      </c>
      <c r="G14" s="45" t="inlineStr">
        <is>
          <t>Yes</t>
        </is>
      </c>
      <c r="H14" s="45" t="inlineStr">
        <is>
          <t>No</t>
        </is>
      </c>
      <c r="I14" s="23">
        <f>IF(OR(B14="",D14="",E14="",F14="",G14=""),"",IF(D14="Capability","Track",IF(F14="Another system with its own pipeline","Check downstream",IF(E14="Low","Track",IF(G14="No","Human decides","Block")))))</f>
        <v/>
      </c>
      <c r="J14" s="45" t="n"/>
      <c r="K14" s="23">
        <f>IF(J14&lt;&gt;"",J14,I14)</f>
        <v/>
      </c>
      <c r="L14" s="23">
        <f>IF(AND(J14&lt;&gt;"",J14&lt;&gt;I14),"Yes","")</f>
        <v/>
      </c>
      <c r="M14" s="44" t="n"/>
      <c r="Z14" s="14" t="inlineStr">
        <is>
          <t>No</t>
        </is>
      </c>
    </row>
    <row r="15" ht="35" customHeight="1">
      <c r="A15" s="20" t="n">
        <v>8</v>
      </c>
      <c r="B15" s="44" t="inlineStr">
        <is>
          <t>Cites the correct policy clause</t>
        </is>
      </c>
      <c r="C15" s="44" t="inlineStr">
        <is>
          <t>The reply quotes the clause that applies to this order</t>
        </is>
      </c>
      <c r="D15" s="45" t="inlineStr">
        <is>
          <t>Regression</t>
        </is>
      </c>
      <c r="E15" s="45" t="inlineStr">
        <is>
          <t>High</t>
        </is>
      </c>
      <c r="F15" s="44" t="inlineStr">
        <is>
          <t>User directly</t>
        </is>
      </c>
      <c r="G15" s="45" t="inlineStr">
        <is>
          <t>No</t>
        </is>
      </c>
      <c r="H15" s="45" t="inlineStr">
        <is>
          <t>No</t>
        </is>
      </c>
      <c r="I15" s="23">
        <f>IF(OR(B15="",D15="",E15="",F15="",G15=""),"",IF(D15="Capability","Track",IF(F15="Another system with its own pipeline","Check downstream",IF(E15="Low","Track",IF(G15="No","Human decides","Block")))))</f>
        <v/>
      </c>
      <c r="J15" s="45" t="inlineStr">
        <is>
          <t>Block</t>
        </is>
      </c>
      <c r="K15" s="23">
        <f>IF(J15&lt;&gt;"",J15,I15)</f>
        <v/>
      </c>
      <c r="L15" s="23">
        <f>IF(AND(J15&lt;&gt;"",J15&lt;&gt;I15),"Yes","")</f>
        <v/>
      </c>
      <c r="M15" s="44" t="inlineStr">
        <is>
          <t>Graded by a model judge calibrated against human reviewers</t>
        </is>
      </c>
    </row>
    <row r="16" ht="30" customHeight="1">
      <c r="A16" s="20" t="n">
        <v>9</v>
      </c>
      <c r="B16" s="44" t="n"/>
      <c r="C16" s="44" t="n"/>
      <c r="D16" s="45" t="n"/>
      <c r="E16" s="45" t="n"/>
      <c r="F16" s="44" t="n"/>
      <c r="G16" s="45" t="n"/>
      <c r="H16" s="45" t="n"/>
      <c r="I16" s="23">
        <f>IF(OR(B16="",D16="",E16="",F16="",G16=""),"",IF(D16="Capability","Track",IF(F16="Another system with its own pipeline","Check downstream",IF(E16="Low","Track",IF(G16="No","Human decides","Block")))))</f>
        <v/>
      </c>
      <c r="J16" s="45" t="n"/>
      <c r="K16" s="23">
        <f>IF(J16&lt;&gt;"",J16,I16)</f>
        <v/>
      </c>
      <c r="L16" s="23">
        <f>IF(AND(J16&lt;&gt;"",J16&lt;&gt;I16),"Yes","")</f>
        <v/>
      </c>
      <c r="M16" s="44" t="n"/>
      <c r="Z16" s="14" t="inlineStr">
        <is>
          <t>Block</t>
        </is>
      </c>
    </row>
    <row r="17" ht="30" customHeight="1">
      <c r="A17" s="20" t="n">
        <v>10</v>
      </c>
      <c r="B17" s="44" t="n"/>
      <c r="C17" s="44" t="n"/>
      <c r="D17" s="45" t="n"/>
      <c r="E17" s="45" t="n"/>
      <c r="F17" s="44" t="n"/>
      <c r="G17" s="45" t="n"/>
      <c r="H17" s="45" t="n"/>
      <c r="I17" s="23">
        <f>IF(OR(B17="",D17="",E17="",F17="",G17=""),"",IF(D17="Capability","Track",IF(F17="Another system with its own pipeline","Check downstream",IF(E17="Low","Track",IF(G17="No","Human decides","Block")))))</f>
        <v/>
      </c>
      <c r="J17" s="45" t="n"/>
      <c r="K17" s="23">
        <f>IF(J17&lt;&gt;"",J17,I17)</f>
        <v/>
      </c>
      <c r="L17" s="23">
        <f>IF(AND(J17&lt;&gt;"",J17&lt;&gt;I17),"Yes","")</f>
        <v/>
      </c>
      <c r="M17" s="44" t="n"/>
      <c r="Z17" s="14" t="inlineStr">
        <is>
          <t>Human decides</t>
        </is>
      </c>
    </row>
    <row r="18" ht="30" customHeight="1">
      <c r="A18" s="20" t="n">
        <v>11</v>
      </c>
      <c r="B18" s="44" t="n"/>
      <c r="C18" s="44" t="n"/>
      <c r="D18" s="45" t="n"/>
      <c r="E18" s="45" t="n"/>
      <c r="F18" s="44" t="n"/>
      <c r="G18" s="45" t="n"/>
      <c r="H18" s="45" t="n"/>
      <c r="I18" s="23">
        <f>IF(OR(B18="",D18="",E18="",F18="",G18=""),"",IF(D18="Capability","Track",IF(F18="Another system with its own pipeline","Check downstream",IF(E18="Low","Track",IF(G18="No","Human decides","Block")))))</f>
        <v/>
      </c>
      <c r="J18" s="45" t="n"/>
      <c r="K18" s="23">
        <f>IF(J18&lt;&gt;"",J18,I18)</f>
        <v/>
      </c>
      <c r="L18" s="23">
        <f>IF(AND(J18&lt;&gt;"",J18&lt;&gt;I18),"Yes","")</f>
        <v/>
      </c>
      <c r="M18" s="44" t="n"/>
      <c r="Z18" s="14" t="inlineStr">
        <is>
          <t>Check downstream</t>
        </is>
      </c>
    </row>
    <row r="19" ht="30" customHeight="1">
      <c r="A19" s="20" t="n">
        <v>12</v>
      </c>
      <c r="B19" s="44" t="n"/>
      <c r="C19" s="44" t="n"/>
      <c r="D19" s="45" t="n"/>
      <c r="E19" s="45" t="n"/>
      <c r="F19" s="44" t="n"/>
      <c r="G19" s="45" t="n"/>
      <c r="H19" s="45" t="n"/>
      <c r="I19" s="23">
        <f>IF(OR(B19="",D19="",E19="",F19="",G19=""),"",IF(D19="Capability","Track",IF(F19="Another system with its own pipeline","Check downstream",IF(E19="Low","Track",IF(G19="No","Human decides","Block")))))</f>
        <v/>
      </c>
      <c r="J19" s="45" t="n"/>
      <c r="K19" s="23">
        <f>IF(J19&lt;&gt;"",J19,I19)</f>
        <v/>
      </c>
      <c r="L19" s="23">
        <f>IF(AND(J19&lt;&gt;"",J19&lt;&gt;I19),"Yes","")</f>
        <v/>
      </c>
      <c r="M19" s="44" t="n"/>
      <c r="Z19" s="14" t="inlineStr">
        <is>
          <t>Track</t>
        </is>
      </c>
    </row>
    <row r="20" ht="30" customHeight="1">
      <c r="A20" s="20" t="n">
        <v>13</v>
      </c>
      <c r="B20" s="44" t="n"/>
      <c r="C20" s="44" t="n"/>
      <c r="D20" s="45" t="n"/>
      <c r="E20" s="45" t="n"/>
      <c r="F20" s="44" t="n"/>
      <c r="G20" s="45" t="n"/>
      <c r="H20" s="45" t="n"/>
      <c r="I20" s="23">
        <f>IF(OR(B20="",D20="",E20="",F20="",G20=""),"",IF(D20="Capability","Track",IF(F20="Another system with its own pipeline","Check downstream",IF(E20="Low","Track",IF(G20="No","Human decides","Block")))))</f>
        <v/>
      </c>
      <c r="J20" s="45" t="n"/>
      <c r="K20" s="23">
        <f>IF(J20&lt;&gt;"",J20,I20)</f>
        <v/>
      </c>
      <c r="L20" s="23">
        <f>IF(AND(J20&lt;&gt;"",J20&lt;&gt;I20),"Yes","")</f>
        <v/>
      </c>
      <c r="M20" s="44" t="n"/>
    </row>
    <row r="21" ht="30" customHeight="1">
      <c r="A21" s="20" t="n">
        <v>14</v>
      </c>
      <c r="B21" s="44" t="n"/>
      <c r="C21" s="44" t="n"/>
      <c r="D21" s="45" t="n"/>
      <c r="E21" s="45" t="n"/>
      <c r="F21" s="44" t="n"/>
      <c r="G21" s="45" t="n"/>
      <c r="H21" s="45" t="n"/>
      <c r="I21" s="23">
        <f>IF(OR(B21="",D21="",E21="",F21="",G21=""),"",IF(D21="Capability","Track",IF(F21="Another system with its own pipeline","Check downstream",IF(E21="Low","Track",IF(G21="No","Human decides","Block")))))</f>
        <v/>
      </c>
      <c r="J21" s="45" t="n"/>
      <c r="K21" s="23">
        <f>IF(J21&lt;&gt;"",J21,I21)</f>
        <v/>
      </c>
      <c r="L21" s="23">
        <f>IF(AND(J21&lt;&gt;"",J21&lt;&gt;I21),"Yes","")</f>
        <v/>
      </c>
      <c r="M21" s="44" t="n"/>
      <c r="Z21" s="14" t="inlineStr">
        <is>
          <t>Yes</t>
        </is>
      </c>
    </row>
    <row r="22" ht="30" customHeight="1">
      <c r="A22" s="20" t="n">
        <v>15</v>
      </c>
      <c r="B22" s="44" t="n"/>
      <c r="C22" s="44" t="n"/>
      <c r="D22" s="45" t="n"/>
      <c r="E22" s="45" t="n"/>
      <c r="F22" s="44" t="n"/>
      <c r="G22" s="45" t="n"/>
      <c r="H22" s="45" t="n"/>
      <c r="I22" s="23">
        <f>IF(OR(B22="",D22="",E22="",F22="",G22=""),"",IF(D22="Capability","Track",IF(F22="Another system with its own pipeline","Check downstream",IF(E22="Low","Track",IF(G22="No","Human decides","Block")))))</f>
        <v/>
      </c>
      <c r="J22" s="45" t="n"/>
      <c r="K22" s="23">
        <f>IF(J22&lt;&gt;"",J22,I22)</f>
        <v/>
      </c>
      <c r="L22" s="23">
        <f>IF(AND(J22&lt;&gt;"",J22&lt;&gt;I22),"Yes","")</f>
        <v/>
      </c>
      <c r="M22" s="44" t="n"/>
      <c r="Z22" s="14" t="inlineStr">
        <is>
          <t>Partial</t>
        </is>
      </c>
    </row>
    <row r="23" ht="30" customHeight="1">
      <c r="A23" s="20" t="n">
        <v>16</v>
      </c>
      <c r="B23" s="44" t="n"/>
      <c r="C23" s="44" t="n"/>
      <c r="D23" s="45" t="n"/>
      <c r="E23" s="45" t="n"/>
      <c r="F23" s="44" t="n"/>
      <c r="G23" s="45" t="n"/>
      <c r="H23" s="45" t="n"/>
      <c r="I23" s="23">
        <f>IF(OR(B23="",D23="",E23="",F23="",G23=""),"",IF(D23="Capability","Track",IF(F23="Another system with its own pipeline","Check downstream",IF(E23="Low","Track",IF(G23="No","Human decides","Block")))))</f>
        <v/>
      </c>
      <c r="J23" s="45" t="n"/>
      <c r="K23" s="23">
        <f>IF(J23&lt;&gt;"",J23,I23)</f>
        <v/>
      </c>
      <c r="L23" s="23">
        <f>IF(AND(J23&lt;&gt;"",J23&lt;&gt;I23),"Yes","")</f>
        <v/>
      </c>
      <c r="M23" s="44" t="n"/>
      <c r="Z23" s="14" t="inlineStr">
        <is>
          <t>No</t>
        </is>
      </c>
    </row>
    <row r="24" ht="30" customHeight="1">
      <c r="A24" s="20" t="n">
        <v>17</v>
      </c>
      <c r="B24" s="44" t="n"/>
      <c r="C24" s="44" t="n"/>
      <c r="D24" s="45" t="n"/>
      <c r="E24" s="45" t="n"/>
      <c r="F24" s="44" t="n"/>
      <c r="G24" s="45" t="n"/>
      <c r="H24" s="45" t="n"/>
      <c r="I24" s="23">
        <f>IF(OR(B24="",D24="",E24="",F24="",G24=""),"",IF(D24="Capability","Track",IF(F24="Another system with its own pipeline","Check downstream",IF(E24="Low","Track",IF(G24="No","Human decides","Block")))))</f>
        <v/>
      </c>
      <c r="J24" s="45" t="n"/>
      <c r="K24" s="23">
        <f>IF(J24&lt;&gt;"",J24,I24)</f>
        <v/>
      </c>
      <c r="L24" s="23">
        <f>IF(AND(J24&lt;&gt;"",J24&lt;&gt;I24),"Yes","")</f>
        <v/>
      </c>
      <c r="M24" s="44" t="n"/>
    </row>
    <row r="25" ht="30" customHeight="1">
      <c r="A25" s="20" t="n">
        <v>18</v>
      </c>
      <c r="B25" s="44" t="n"/>
      <c r="C25" s="44" t="n"/>
      <c r="D25" s="45" t="n"/>
      <c r="E25" s="45" t="n"/>
      <c r="F25" s="44" t="n"/>
      <c r="G25" s="45" t="n"/>
      <c r="H25" s="45" t="n"/>
      <c r="I25" s="23">
        <f>IF(OR(B25="",D25="",E25="",F25="",G25=""),"",IF(D25="Capability","Track",IF(F25="Another system with its own pipeline","Check downstream",IF(E25="Low","Track",IF(G25="No","Human decides","Block")))))</f>
        <v/>
      </c>
      <c r="J25" s="45" t="n"/>
      <c r="K25" s="23">
        <f>IF(J25&lt;&gt;"",J25,I25)</f>
        <v/>
      </c>
      <c r="L25" s="23">
        <f>IF(AND(J25&lt;&gt;"",J25&lt;&gt;I25),"Yes","")</f>
        <v/>
      </c>
      <c r="M25" s="44" t="n"/>
    </row>
    <row r="26" ht="30" customHeight="1">
      <c r="A26" s="20" t="n">
        <v>19</v>
      </c>
      <c r="B26" s="44" t="n"/>
      <c r="C26" s="44" t="n"/>
      <c r="D26" s="45" t="n"/>
      <c r="E26" s="45" t="n"/>
      <c r="F26" s="44" t="n"/>
      <c r="G26" s="45" t="n"/>
      <c r="H26" s="45" t="n"/>
      <c r="I26" s="23">
        <f>IF(OR(B26="",D26="",E26="",F26="",G26=""),"",IF(D26="Capability","Track",IF(F26="Another system with its own pipeline","Check downstream",IF(E26="Low","Track",IF(G26="No","Human decides","Block")))))</f>
        <v/>
      </c>
      <c r="J26" s="45" t="n"/>
      <c r="K26" s="23">
        <f>IF(J26&lt;&gt;"",J26,I26)</f>
        <v/>
      </c>
      <c r="L26" s="23">
        <f>IF(AND(J26&lt;&gt;"",J26&lt;&gt;I26),"Yes","")</f>
        <v/>
      </c>
      <c r="M26" s="44" t="n"/>
    </row>
    <row r="27" ht="30" customHeight="1">
      <c r="A27" s="20" t="n">
        <v>20</v>
      </c>
      <c r="B27" s="44" t="n"/>
      <c r="C27" s="44" t="n"/>
      <c r="D27" s="45" t="n"/>
      <c r="E27" s="45" t="n"/>
      <c r="F27" s="44" t="n"/>
      <c r="G27" s="45" t="n"/>
      <c r="H27" s="45" t="n"/>
      <c r="I27" s="23">
        <f>IF(OR(B27="",D27="",E27="",F27="",G27=""),"",IF(D27="Capability","Track",IF(F27="Another system with its own pipeline","Check downstream",IF(E27="Low","Track",IF(G27="No","Human decides","Block")))))</f>
        <v/>
      </c>
      <c r="J27" s="45" t="n"/>
      <c r="K27" s="23">
        <f>IF(J27&lt;&gt;"",J27,I27)</f>
        <v/>
      </c>
      <c r="L27" s="23">
        <f>IF(AND(J27&lt;&gt;"",J27&lt;&gt;I27),"Yes","")</f>
        <v/>
      </c>
      <c r="M27" s="44" t="n"/>
    </row>
    <row r="29" ht="26" customHeight="1">
      <c r="A29" s="24" t="inlineStr">
        <is>
          <t>Summary</t>
        </is>
      </c>
    </row>
    <row r="30" ht="24" customHeight="1">
      <c r="A30" s="13" t="inlineStr">
        <is>
          <t>Cases listed</t>
        </is>
      </c>
      <c r="C30" s="25">
        <f>COUNTA(B8:B27)</f>
        <v/>
      </c>
    </row>
    <row r="32">
      <c r="A32" s="26" t="inlineStr">
        <is>
          <t>CASES BY ROUTE</t>
        </is>
      </c>
      <c r="B32" s="26" t="n"/>
      <c r="C32" s="27" t="inlineStr">
        <is>
          <t>Final</t>
        </is>
      </c>
      <c r="D32" s="27" t="inlineStr">
        <is>
          <t>Suggested</t>
        </is>
      </c>
    </row>
    <row r="33" ht="22" customHeight="1">
      <c r="B33" s="28" t="inlineStr">
        <is>
          <t>Block</t>
        </is>
      </c>
      <c r="C33" s="29">
        <f>COUNTIF(K8:K27,"Block")</f>
        <v/>
      </c>
      <c r="D33" s="30">
        <f>COUNTIF(I8:I27,"Block")</f>
        <v/>
      </c>
    </row>
    <row r="34" ht="22" customHeight="1">
      <c r="B34" s="31" t="inlineStr">
        <is>
          <t>Human decides</t>
        </is>
      </c>
      <c r="C34" s="29">
        <f>COUNTIF(K8:K27,"Human decides")</f>
        <v/>
      </c>
      <c r="D34" s="30">
        <f>COUNTIF(I8:I27,"Human decides")</f>
        <v/>
      </c>
    </row>
    <row r="35" ht="22" customHeight="1">
      <c r="B35" s="32" t="inlineStr">
        <is>
          <t>Check downstream</t>
        </is>
      </c>
      <c r="C35" s="29">
        <f>COUNTIF(K8:K27,"Check downstream")</f>
        <v/>
      </c>
      <c r="D35" s="30">
        <f>COUNTIF(I8:I27,"Check downstream")</f>
        <v/>
      </c>
    </row>
    <row r="36" ht="22" customHeight="1">
      <c r="B36" s="33" t="inlineStr">
        <is>
          <t>Track</t>
        </is>
      </c>
      <c r="C36" s="29">
        <f>COUNTIF(K8:K27,"Track")</f>
        <v/>
      </c>
      <c r="D36" s="30">
        <f>COUNTIF(I8:I27,"Track")</f>
        <v/>
      </c>
    </row>
    <row r="38" ht="24" customHeight="1">
      <c r="A38" s="13" t="inlineStr">
        <is>
          <t>Unrouted cases</t>
        </is>
      </c>
      <c r="C38" s="25">
        <f>SUMPRODUCT((B8:B27&lt;&gt;"")*(K8:K27=""))</f>
        <v/>
      </c>
      <c r="D38" s="19" t="inlineStr">
        <is>
          <t>Cases with a name and no route. Fill in D to G, or pick a route.</t>
        </is>
      </c>
    </row>
    <row r="39" ht="24" customHeight="1">
      <c r="A39" s="13" t="inlineStr">
        <is>
          <t>Overrides</t>
        </is>
      </c>
      <c r="C39" s="25">
        <f>COUNTIF(L8:L27,"Yes")</f>
        <v/>
      </c>
      <c r="D39" s="19" t="inlineStr">
        <is>
          <t>Cases where the route chosen differs from the suggestion.</t>
        </is>
      </c>
    </row>
    <row r="40" ht="24" customHeight="1">
      <c r="A40" s="13" t="inlineStr">
        <is>
          <t>Overrides with no reason</t>
        </is>
      </c>
      <c r="C40" s="25">
        <f>SUMPRODUCT((L8:L27="Yes")*(M8:M27=""))</f>
        <v/>
      </c>
      <c r="D40" s="19" t="inlineStr">
        <is>
          <t>Write the reason in column M.</t>
        </is>
      </c>
    </row>
    <row r="43" ht="28" customHeight="1">
      <c r="A43" s="18" t="inlineStr">
        <is>
          <t>2 · Route Requirements</t>
        </is>
      </c>
    </row>
    <row r="44" ht="20" customHeight="1">
      <c r="A44" s="3" t="inlineStr">
        <is>
          <t>Does each route have what it needs?</t>
        </is>
      </c>
    </row>
    <row r="45" ht="28" customHeight="1">
      <c r="A45" s="19" t="inlineStr">
        <is>
          <t>Rows mirror the Gate Inventory. Fill in only the columns for the row’s final route; the others are greyed out. Each row names the first thing missing.</t>
        </is>
      </c>
    </row>
    <row r="47" ht="34" customHeight="1">
      <c r="A47" s="34" t="inlineStr">
        <is>
          <t>Minimum trials for non-deterministic Block cases</t>
        </is>
      </c>
      <c r="C47" s="45" t="n">
        <v>3</v>
      </c>
      <c r="D47" s="19" t="inlineStr">
        <is>
          <t>Agents vary between runs. A Block case on non-deterministic behaviour should pass every one of several trials.</t>
        </is>
      </c>
    </row>
    <row r="49" ht="20" customHeight="1">
      <c r="E49" s="35" t="inlineStr">
        <is>
          <t>Block</t>
        </is>
      </c>
      <c r="G49" s="36" t="inlineStr">
        <is>
          <t>Human decides</t>
        </is>
      </c>
      <c r="J49" s="37" t="inlineStr">
        <is>
          <t>Check downstream</t>
        </is>
      </c>
      <c r="P49" s="38" t="inlineStr">
        <is>
          <t>Track</t>
        </is>
      </c>
    </row>
    <row r="50" ht="58" customHeight="1">
      <c r="A50" s="6" t="inlineStr">
        <is>
          <t>#</t>
        </is>
      </c>
      <c r="B50" s="6" t="inlineStr">
        <is>
          <t>Case or suite</t>
        </is>
      </c>
      <c r="C50" s="6" t="inlineStr">
        <is>
          <t>Final route</t>
        </is>
      </c>
      <c r="D50" s="6" t="inlineStr">
        <is>
          <t>Deterministic?</t>
        </is>
      </c>
      <c r="E50" s="6" t="inlineStr">
        <is>
          <t>Trials per release</t>
        </is>
      </c>
      <c r="F50" s="6" t="inlineStr">
        <is>
          <t>Trials that must pass</t>
        </is>
      </c>
      <c r="G50" s="6" t="inlineStr">
        <is>
          <t>Owner</t>
        </is>
      </c>
      <c r="H50" s="6" t="inlineStr">
        <is>
          <t>Backup owner</t>
        </is>
      </c>
      <c r="I50" s="6" t="inlineStr">
        <is>
          <t>Halt criteria written before the release?</t>
        </is>
      </c>
      <c r="J50" s="6" t="inlineStr">
        <is>
          <t>Downstream system</t>
        </is>
      </c>
      <c r="K50" s="6" t="inlineStr">
        <is>
          <t>Team that owns its pipeline</t>
        </is>
      </c>
      <c r="L50" s="6" t="inlineStr">
        <is>
          <t>Output contract exists?</t>
        </is>
      </c>
      <c r="M50" s="6" t="inlineStr">
        <is>
          <t>Downstream verifies the contract before either side deploys?</t>
        </is>
      </c>
      <c r="N50" s="6" t="inlineStr">
        <is>
          <t>Both sides can switch the new behaviour on together?</t>
        </is>
      </c>
      <c r="O50" s="6" t="inlineStr">
        <is>
          <t>Who can halt the release</t>
        </is>
      </c>
      <c r="P50" s="6" t="inlineStr">
        <is>
          <t>Owner who reviews the trend</t>
        </is>
      </c>
      <c r="Q50" s="6" t="inlineStr">
        <is>
          <t>Route ready?</t>
        </is>
      </c>
      <c r="R50" s="6" t="inlineStr">
        <is>
          <t>Why not ready</t>
        </is>
      </c>
    </row>
    <row r="51" ht="30" customHeight="1">
      <c r="A51" s="20" t="n">
        <v>1</v>
      </c>
      <c r="B51" s="8">
        <f>IF(B8="","",B8)</f>
        <v/>
      </c>
      <c r="C51" s="23">
        <f>IF(K8="","",K8)</f>
        <v/>
      </c>
      <c r="D51" s="23">
        <f>IF(H8="","",H8)</f>
        <v/>
      </c>
      <c r="E51" s="45" t="n"/>
      <c r="F51" s="45" t="n"/>
      <c r="G51" s="44" t="n"/>
      <c r="H51" s="44" t="n"/>
      <c r="I51" s="45" t="n"/>
      <c r="J51" s="44" t="inlineStr">
        <is>
          <t>Payments service</t>
        </is>
      </c>
      <c r="K51" s="44" t="inlineStr">
        <is>
          <t>Payments</t>
        </is>
      </c>
      <c r="L51" s="45" t="inlineStr">
        <is>
          <t>Yes</t>
        </is>
      </c>
      <c r="M51" s="45" t="inlineStr">
        <is>
          <t>No</t>
        </is>
      </c>
      <c r="N51" s="45" t="inlineStr">
        <is>
          <t>Yes</t>
        </is>
      </c>
      <c r="O51" s="44" t="inlineStr">
        <is>
          <t>Release manager</t>
        </is>
      </c>
      <c r="P51" s="44" t="n"/>
      <c r="Q51" s="23">
        <f>IF(C51="","",IF(R51="","Ready","Not ready"))</f>
        <v/>
      </c>
      <c r="R51" s="8">
        <f>IF(C51="","",IF(C51="Block",IF(OR(E51="",E51&lt;1),"No trials set",IF(F51="","Trials that must pass not set",IF(F51&lt;E51,"Trials that must pass is lower than trials",IF(F51&gt;E51,"Trials that must pass is more than trials",IF(AND(D51&lt;&gt;"Yes",E51&lt;IF($C$47="",3,$C$47)),"Fewer trials than the minimum for non-deterministic cases",""))))),IF(C51="Human decides",IF(G51="","No owner",IF(I51&lt;&gt;"Yes","No halt criteria","")),IF(C51="Check downstream",IF(J51="","No downstream system named",IF(K51="","No team named for its pipeline",IF(L51="Partial","Output contract only partial",IF(L51&lt;&gt;"Yes","No output contract",IF(M51&lt;&gt;"Yes","Contract not verified before deploy",IF(N51&lt;&gt;"Yes","Cannot switch on together",IF(O51="","Nobody named who can halt",""))))))),IF(C51="Track",IF(P51="","No owner",""),"")))))</f>
        <v/>
      </c>
    </row>
    <row r="52" ht="35" customHeight="1">
      <c r="A52" s="20" t="n">
        <v>2</v>
      </c>
      <c r="B52" s="8">
        <f>IF(B9="","",B9)</f>
        <v/>
      </c>
      <c r="C52" s="23">
        <f>IF(K9="","",K9)</f>
        <v/>
      </c>
      <c r="D52" s="23">
        <f>IF(H9="","",H9)</f>
        <v/>
      </c>
      <c r="E52" s="45" t="n"/>
      <c r="F52" s="45" t="n"/>
      <c r="G52" s="44" t="n"/>
      <c r="H52" s="44" t="n"/>
      <c r="I52" s="45" t="n"/>
      <c r="J52" s="44" t="inlineStr">
        <is>
          <t>Payments service</t>
        </is>
      </c>
      <c r="K52" s="44" t="inlineStr">
        <is>
          <t>Payments</t>
        </is>
      </c>
      <c r="L52" s="45" t="inlineStr">
        <is>
          <t>Yes</t>
        </is>
      </c>
      <c r="M52" s="45" t="inlineStr">
        <is>
          <t>Yes</t>
        </is>
      </c>
      <c r="N52" s="45" t="inlineStr">
        <is>
          <t>Yes</t>
        </is>
      </c>
      <c r="O52" s="44" t="inlineStr">
        <is>
          <t>Release manager</t>
        </is>
      </c>
      <c r="P52" s="44" t="n"/>
      <c r="Q52" s="23">
        <f>IF(C52="","",IF(R52="","Ready","Not ready"))</f>
        <v/>
      </c>
      <c r="R52" s="8">
        <f>IF(C52="","",IF(C52="Block",IF(OR(E52="",E52&lt;1),"No trials set",IF(F52="","Trials that must pass not set",IF(F52&lt;E52,"Trials that must pass is lower than trials",IF(F52&gt;E52,"Trials that must pass is more than trials",IF(AND(D52&lt;&gt;"Yes",E52&lt;IF($C$47="",3,$C$47)),"Fewer trials than the minimum for non-deterministic cases",""))))),IF(C52="Human decides",IF(G52="","No owner",IF(I52&lt;&gt;"Yes","No halt criteria","")),IF(C52="Check downstream",IF(J52="","No downstream system named",IF(K52="","No team named for its pipeline",IF(L52="Partial","Output contract only partial",IF(L52&lt;&gt;"Yes","No output contract",IF(M52&lt;&gt;"Yes","Contract not verified before deploy",IF(N52&lt;&gt;"Yes","Cannot switch on together",IF(O52="","Nobody named who can halt",""))))))),IF(C52="Track",IF(P52="","No owner",""),"")))))</f>
        <v/>
      </c>
    </row>
    <row r="53" ht="35" customHeight="1">
      <c r="A53" s="20" t="n">
        <v>3</v>
      </c>
      <c r="B53" s="8">
        <f>IF(B10="","",B10)</f>
        <v/>
      </c>
      <c r="C53" s="23">
        <f>IF(K10="","",K10)</f>
        <v/>
      </c>
      <c r="D53" s="23">
        <f>IF(H10="","",H10)</f>
        <v/>
      </c>
      <c r="E53" s="45" t="n">
        <v>5</v>
      </c>
      <c r="F53" s="45" t="n">
        <v>5</v>
      </c>
      <c r="G53" s="44" t="n"/>
      <c r="H53" s="44" t="n"/>
      <c r="I53" s="45" t="n"/>
      <c r="J53" s="44" t="n"/>
      <c r="K53" s="44" t="n"/>
      <c r="L53" s="45" t="n"/>
      <c r="M53" s="45" t="n"/>
      <c r="N53" s="45" t="n"/>
      <c r="O53" s="44" t="n"/>
      <c r="P53" s="44" t="n"/>
      <c r="Q53" s="23">
        <f>IF(C53="","",IF(R53="","Ready","Not ready"))</f>
        <v/>
      </c>
      <c r="R53" s="8">
        <f>IF(C53="","",IF(C53="Block",IF(OR(E53="",E53&lt;1),"No trials set",IF(F53="","Trials that must pass not set",IF(F53&lt;E53,"Trials that must pass is lower than trials",IF(F53&gt;E53,"Trials that must pass is more than trials",IF(AND(D53&lt;&gt;"Yes",E53&lt;IF($C$47="",3,$C$47)),"Fewer trials than the minimum for non-deterministic cases",""))))),IF(C53="Human decides",IF(G53="","No owner",IF(I53&lt;&gt;"Yes","No halt criteria","")),IF(C53="Check downstream",IF(J53="","No downstream system named",IF(K53="","No team named for its pipeline",IF(L53="Partial","Output contract only partial",IF(L53&lt;&gt;"Yes","No output contract",IF(M53&lt;&gt;"Yes","Contract not verified before deploy",IF(N53&lt;&gt;"Yes","Cannot switch on together",IF(O53="","Nobody named who can halt",""))))))),IF(C53="Track",IF(P53="","No owner",""),"")))))</f>
        <v/>
      </c>
    </row>
    <row r="54" ht="35" customHeight="1">
      <c r="A54" s="20" t="n">
        <v>4</v>
      </c>
      <c r="B54" s="8">
        <f>IF(B11="","",B11)</f>
        <v/>
      </c>
      <c r="C54" s="23">
        <f>IF(K11="","",K11)</f>
        <v/>
      </c>
      <c r="D54" s="23">
        <f>IF(H11="","",H11)</f>
        <v/>
      </c>
      <c r="E54" s="45" t="n"/>
      <c r="F54" s="45" t="n"/>
      <c r="G54" s="44" t="inlineStr">
        <is>
          <t>Trust and safety lead</t>
        </is>
      </c>
      <c r="H54" s="44" t="n"/>
      <c r="I54" s="45" t="inlineStr">
        <is>
          <t>No</t>
        </is>
      </c>
      <c r="J54" s="44" t="n"/>
      <c r="K54" s="44" t="n"/>
      <c r="L54" s="45" t="n"/>
      <c r="M54" s="45" t="n"/>
      <c r="N54" s="45" t="n"/>
      <c r="O54" s="44" t="n"/>
      <c r="P54" s="44" t="n"/>
      <c r="Q54" s="23">
        <f>IF(C54="","",IF(R54="","Ready","Not ready"))</f>
        <v/>
      </c>
      <c r="R54" s="8">
        <f>IF(C54="","",IF(C54="Block",IF(OR(E54="",E54&lt;1),"No trials set",IF(F54="","Trials that must pass not set",IF(F54&lt;E54,"Trials that must pass is lower than trials",IF(F54&gt;E54,"Trials that must pass is more than trials",IF(AND(D54&lt;&gt;"Yes",E54&lt;IF($C$47="",3,$C$47)),"Fewer trials than the minimum for non-deterministic cases",""))))),IF(C54="Human decides",IF(G54="","No owner",IF(I54&lt;&gt;"Yes","No halt criteria","")),IF(C54="Check downstream",IF(J54="","No downstream system named",IF(K54="","No team named for its pipeline",IF(L54="Partial","Output contract only partial",IF(L54&lt;&gt;"Yes","No output contract",IF(M54&lt;&gt;"Yes","Contract not verified before deploy",IF(N54&lt;&gt;"Yes","Cannot switch on together",IF(O54="","Nobody named who can halt",""))))))),IF(C54="Track",IF(P54="","No owner",""),"")))))</f>
        <v/>
      </c>
    </row>
    <row r="55" ht="30" customHeight="1">
      <c r="A55" s="20" t="n">
        <v>5</v>
      </c>
      <c r="B55" s="8">
        <f>IF(B12="","",B12)</f>
        <v/>
      </c>
      <c r="C55" s="23">
        <f>IF(K12="","",K12)</f>
        <v/>
      </c>
      <c r="D55" s="23">
        <f>IF(H12="","",H12)</f>
        <v/>
      </c>
      <c r="E55" s="45" t="n"/>
      <c r="F55" s="45" t="n"/>
      <c r="G55" s="44" t="n"/>
      <c r="H55" s="44" t="n"/>
      <c r="I55" s="45" t="n"/>
      <c r="J55" s="44" t="n"/>
      <c r="K55" s="44" t="n"/>
      <c r="L55" s="45" t="n"/>
      <c r="M55" s="45" t="n"/>
      <c r="N55" s="45" t="n"/>
      <c r="O55" s="44" t="n"/>
      <c r="P55" s="44" t="inlineStr">
        <is>
          <t>Support quality lead</t>
        </is>
      </c>
      <c r="Q55" s="23">
        <f>IF(C55="","",IF(R55="","Ready","Not ready"))</f>
        <v/>
      </c>
      <c r="R55" s="8">
        <f>IF(C55="","",IF(C55="Block",IF(OR(E55="",E55&lt;1),"No trials set",IF(F55="","Trials that must pass not set",IF(F55&lt;E55,"Trials that must pass is lower than trials",IF(F55&gt;E55,"Trials that must pass is more than trials",IF(AND(D55&lt;&gt;"Yes",E55&lt;IF($C$47="",3,$C$47)),"Fewer trials than the minimum for non-deterministic cases",""))))),IF(C55="Human decides",IF(G55="","No owner",IF(I55&lt;&gt;"Yes","No halt criteria","")),IF(C55="Check downstream",IF(J55="","No downstream system named",IF(K55="","No team named for its pipeline",IF(L55="Partial","Output contract only partial",IF(L55&lt;&gt;"Yes","No output contract",IF(M55&lt;&gt;"Yes","Contract not verified before deploy",IF(N55&lt;&gt;"Yes","Cannot switch on together",IF(O55="","Nobody named who can halt",""))))))),IF(C55="Track",IF(P55="","No owner",""),"")))))</f>
        <v/>
      </c>
    </row>
    <row r="56" ht="35" customHeight="1">
      <c r="A56" s="20" t="n">
        <v>6</v>
      </c>
      <c r="B56" s="8">
        <f>IF(B13="","",B13)</f>
        <v/>
      </c>
      <c r="C56" s="23">
        <f>IF(K13="","",K13)</f>
        <v/>
      </c>
      <c r="D56" s="23">
        <f>IF(H13="","",H13)</f>
        <v/>
      </c>
      <c r="E56" s="45" t="n"/>
      <c r="F56" s="45" t="n"/>
      <c r="G56" s="44" t="n"/>
      <c r="H56" s="44" t="n"/>
      <c r="I56" s="45" t="n"/>
      <c r="J56" s="44" t="n"/>
      <c r="K56" s="44" t="n"/>
      <c r="L56" s="45" t="n"/>
      <c r="M56" s="45" t="n"/>
      <c r="N56" s="45" t="n"/>
      <c r="O56" s="44" t="n"/>
      <c r="P56" s="44" t="n"/>
      <c r="Q56" s="23">
        <f>IF(C56="","",IF(R56="","Ready","Not ready"))</f>
        <v/>
      </c>
      <c r="R56" s="8">
        <f>IF(C56="","",IF(C56="Block",IF(OR(E56="",E56&lt;1),"No trials set",IF(F56="","Trials that must pass not set",IF(F56&lt;E56,"Trials that must pass is lower than trials",IF(F56&gt;E56,"Trials that must pass is more than trials",IF(AND(D56&lt;&gt;"Yes",E56&lt;IF($C$47="",3,$C$47)),"Fewer trials than the minimum for non-deterministic cases",""))))),IF(C56="Human decides",IF(G56="","No owner",IF(I56&lt;&gt;"Yes","No halt criteria","")),IF(C56="Check downstream",IF(J56="","No downstream system named",IF(K56="","No team named for its pipeline",IF(L56="Partial","Output contract only partial",IF(L56&lt;&gt;"Yes","No output contract",IF(M56&lt;&gt;"Yes","Contract not verified before deploy",IF(N56&lt;&gt;"Yes","Cannot switch on together",IF(O56="","Nobody named who can halt",""))))))),IF(C56="Track",IF(P56="","No owner",""),"")))))</f>
        <v/>
      </c>
    </row>
    <row r="57" ht="35" customHeight="1">
      <c r="A57" s="20" t="n">
        <v>7</v>
      </c>
      <c r="B57" s="8">
        <f>IF(B14="","",B14)</f>
        <v/>
      </c>
      <c r="C57" s="23">
        <f>IF(K14="","",K14)</f>
        <v/>
      </c>
      <c r="D57" s="23">
        <f>IF(H14="","",H14)</f>
        <v/>
      </c>
      <c r="E57" s="45" t="n">
        <v>3</v>
      </c>
      <c r="F57" s="45" t="n">
        <v>2</v>
      </c>
      <c r="G57" s="44" t="n"/>
      <c r="H57" s="44" t="n"/>
      <c r="I57" s="45" t="n"/>
      <c r="J57" s="44" t="n"/>
      <c r="K57" s="44" t="n"/>
      <c r="L57" s="45" t="n"/>
      <c r="M57" s="45" t="n"/>
      <c r="N57" s="45" t="n"/>
      <c r="O57" s="44" t="n"/>
      <c r="P57" s="44" t="n"/>
      <c r="Q57" s="23">
        <f>IF(C57="","",IF(R57="","Ready","Not ready"))</f>
        <v/>
      </c>
      <c r="R57" s="8">
        <f>IF(C57="","",IF(C57="Block",IF(OR(E57="",E57&lt;1),"No trials set",IF(F57="","Trials that must pass not set",IF(F57&lt;E57,"Trials that must pass is lower than trials",IF(F57&gt;E57,"Trials that must pass is more than trials",IF(AND(D57&lt;&gt;"Yes",E57&lt;IF($C$47="",3,$C$47)),"Fewer trials than the minimum for non-deterministic cases",""))))),IF(C57="Human decides",IF(G57="","No owner",IF(I57&lt;&gt;"Yes","No halt criteria","")),IF(C57="Check downstream",IF(J57="","No downstream system named",IF(K57="","No team named for its pipeline",IF(L57="Partial","Output contract only partial",IF(L57&lt;&gt;"Yes","No output contract",IF(M57&lt;&gt;"Yes","Contract not verified before deploy",IF(N57&lt;&gt;"Yes","Cannot switch on together",IF(O57="","Nobody named who can halt",""))))))),IF(C57="Track",IF(P57="","No owner",""),"")))))</f>
        <v/>
      </c>
    </row>
    <row r="58" ht="30" customHeight="1">
      <c r="A58" s="20" t="n">
        <v>8</v>
      </c>
      <c r="B58" s="8">
        <f>IF(B15="","",B15)</f>
        <v/>
      </c>
      <c r="C58" s="23">
        <f>IF(K15="","",K15)</f>
        <v/>
      </c>
      <c r="D58" s="23">
        <f>IF(H15="","",H15)</f>
        <v/>
      </c>
      <c r="E58" s="45" t="n">
        <v>1</v>
      </c>
      <c r="F58" s="45" t="n">
        <v>1</v>
      </c>
      <c r="G58" s="44" t="n"/>
      <c r="H58" s="44" t="n"/>
      <c r="I58" s="45" t="n"/>
      <c r="J58" s="44" t="n"/>
      <c r="K58" s="44" t="n"/>
      <c r="L58" s="45" t="n"/>
      <c r="M58" s="45" t="n"/>
      <c r="N58" s="45" t="n"/>
      <c r="O58" s="44" t="n"/>
      <c r="P58" s="44" t="n"/>
      <c r="Q58" s="23">
        <f>IF(C58="","",IF(R58="","Ready","Not ready"))</f>
        <v/>
      </c>
      <c r="R58" s="8">
        <f>IF(C58="","",IF(C58="Block",IF(OR(E58="",E58&lt;1),"No trials set",IF(F58="","Trials that must pass not set",IF(F58&lt;E58,"Trials that must pass is lower than trials",IF(F58&gt;E58,"Trials that must pass is more than trials",IF(AND(D58&lt;&gt;"Yes",E58&lt;IF($C$47="",3,$C$47)),"Fewer trials than the minimum for non-deterministic cases",""))))),IF(C58="Human decides",IF(G58="","No owner",IF(I58&lt;&gt;"Yes","No halt criteria","")),IF(C58="Check downstream",IF(J58="","No downstream system named",IF(K58="","No team named for its pipeline",IF(L58="Partial","Output contract only partial",IF(L58&lt;&gt;"Yes","No output contract",IF(M58&lt;&gt;"Yes","Contract not verified before deploy",IF(N58&lt;&gt;"Yes","Cannot switch on together",IF(O58="","Nobody named who can halt",""))))))),IF(C58="Track",IF(P58="","No owner",""),"")))))</f>
        <v/>
      </c>
    </row>
    <row r="59" ht="30" customHeight="1">
      <c r="A59" s="20" t="n">
        <v>9</v>
      </c>
      <c r="B59" s="8">
        <f>IF(B16="","",B16)</f>
        <v/>
      </c>
      <c r="C59" s="23">
        <f>IF(K16="","",K16)</f>
        <v/>
      </c>
      <c r="D59" s="23">
        <f>IF(H16="","",H16)</f>
        <v/>
      </c>
      <c r="E59" s="45" t="n"/>
      <c r="F59" s="45" t="n"/>
      <c r="G59" s="44" t="n"/>
      <c r="H59" s="44" t="n"/>
      <c r="I59" s="45" t="n"/>
      <c r="J59" s="44" t="n"/>
      <c r="K59" s="44" t="n"/>
      <c r="L59" s="45" t="n"/>
      <c r="M59" s="45" t="n"/>
      <c r="N59" s="45" t="n"/>
      <c r="O59" s="44" t="n"/>
      <c r="P59" s="44" t="n"/>
      <c r="Q59" s="23">
        <f>IF(C59="","",IF(R59="","Ready","Not ready"))</f>
        <v/>
      </c>
      <c r="R59" s="8">
        <f>IF(C59="","",IF(C59="Block",IF(OR(E59="",E59&lt;1),"No trials set",IF(F59="","Trials that must pass not set",IF(F59&lt;E59,"Trials that must pass is lower than trials",IF(F59&gt;E59,"Trials that must pass is more than trials",IF(AND(D59&lt;&gt;"Yes",E59&lt;IF($C$47="",3,$C$47)),"Fewer trials than the minimum for non-deterministic cases",""))))),IF(C59="Human decides",IF(G59="","No owner",IF(I59&lt;&gt;"Yes","No halt criteria","")),IF(C59="Check downstream",IF(J59="","No downstream system named",IF(K59="","No team named for its pipeline",IF(L59="Partial","Output contract only partial",IF(L59&lt;&gt;"Yes","No output contract",IF(M59&lt;&gt;"Yes","Contract not verified before deploy",IF(N59&lt;&gt;"Yes","Cannot switch on together",IF(O59="","Nobody named who can halt",""))))))),IF(C59="Track",IF(P59="","No owner",""),"")))))</f>
        <v/>
      </c>
    </row>
    <row r="60" ht="30" customHeight="1">
      <c r="A60" s="20" t="n">
        <v>10</v>
      </c>
      <c r="B60" s="8">
        <f>IF(B17="","",B17)</f>
        <v/>
      </c>
      <c r="C60" s="23">
        <f>IF(K17="","",K17)</f>
        <v/>
      </c>
      <c r="D60" s="23">
        <f>IF(H17="","",H17)</f>
        <v/>
      </c>
      <c r="E60" s="45" t="n"/>
      <c r="F60" s="45" t="n"/>
      <c r="G60" s="44" t="n"/>
      <c r="H60" s="44" t="n"/>
      <c r="I60" s="45" t="n"/>
      <c r="J60" s="44" t="n"/>
      <c r="K60" s="44" t="n"/>
      <c r="L60" s="45" t="n"/>
      <c r="M60" s="45" t="n"/>
      <c r="N60" s="45" t="n"/>
      <c r="O60" s="44" t="n"/>
      <c r="P60" s="44" t="n"/>
      <c r="Q60" s="23">
        <f>IF(C60="","",IF(R60="","Ready","Not ready"))</f>
        <v/>
      </c>
      <c r="R60" s="8">
        <f>IF(C60="","",IF(C60="Block",IF(OR(E60="",E60&lt;1),"No trials set",IF(F60="","Trials that must pass not set",IF(F60&lt;E60,"Trials that must pass is lower than trials",IF(F60&gt;E60,"Trials that must pass is more than trials",IF(AND(D60&lt;&gt;"Yes",E60&lt;IF($C$47="",3,$C$47)),"Fewer trials than the minimum for non-deterministic cases",""))))),IF(C60="Human decides",IF(G60="","No owner",IF(I60&lt;&gt;"Yes","No halt criteria","")),IF(C60="Check downstream",IF(J60="","No downstream system named",IF(K60="","No team named for its pipeline",IF(L60="Partial","Output contract only partial",IF(L60&lt;&gt;"Yes","No output contract",IF(M60&lt;&gt;"Yes","Contract not verified before deploy",IF(N60&lt;&gt;"Yes","Cannot switch on together",IF(O60="","Nobody named who can halt",""))))))),IF(C60="Track",IF(P60="","No owner",""),"")))))</f>
        <v/>
      </c>
    </row>
    <row r="61" ht="30" customHeight="1">
      <c r="A61" s="20" t="n">
        <v>11</v>
      </c>
      <c r="B61" s="8">
        <f>IF(B18="","",B18)</f>
        <v/>
      </c>
      <c r="C61" s="23">
        <f>IF(K18="","",K18)</f>
        <v/>
      </c>
      <c r="D61" s="23">
        <f>IF(H18="","",H18)</f>
        <v/>
      </c>
      <c r="E61" s="45" t="n"/>
      <c r="F61" s="45" t="n"/>
      <c r="G61" s="44" t="n"/>
      <c r="H61" s="44" t="n"/>
      <c r="I61" s="45" t="n"/>
      <c r="J61" s="44" t="n"/>
      <c r="K61" s="44" t="n"/>
      <c r="L61" s="45" t="n"/>
      <c r="M61" s="45" t="n"/>
      <c r="N61" s="45" t="n"/>
      <c r="O61" s="44" t="n"/>
      <c r="P61" s="44" t="n"/>
      <c r="Q61" s="23">
        <f>IF(C61="","",IF(R61="","Ready","Not ready"))</f>
        <v/>
      </c>
      <c r="R61" s="8">
        <f>IF(C61="","",IF(C61="Block",IF(OR(E61="",E61&lt;1),"No trials set",IF(F61="","Trials that must pass not set",IF(F61&lt;E61,"Trials that must pass is lower than trials",IF(F61&gt;E61,"Trials that must pass is more than trials",IF(AND(D61&lt;&gt;"Yes",E61&lt;IF($C$47="",3,$C$47)),"Fewer trials than the minimum for non-deterministic cases",""))))),IF(C61="Human decides",IF(G61="","No owner",IF(I61&lt;&gt;"Yes","No halt criteria","")),IF(C61="Check downstream",IF(J61="","No downstream system named",IF(K61="","No team named for its pipeline",IF(L61="Partial","Output contract only partial",IF(L61&lt;&gt;"Yes","No output contract",IF(M61&lt;&gt;"Yes","Contract not verified before deploy",IF(N61&lt;&gt;"Yes","Cannot switch on together",IF(O61="","Nobody named who can halt",""))))))),IF(C61="Track",IF(P61="","No owner",""),"")))))</f>
        <v/>
      </c>
    </row>
    <row r="62" ht="30" customHeight="1">
      <c r="A62" s="20" t="n">
        <v>12</v>
      </c>
      <c r="B62" s="8">
        <f>IF(B19="","",B19)</f>
        <v/>
      </c>
      <c r="C62" s="23">
        <f>IF(K19="","",K19)</f>
        <v/>
      </c>
      <c r="D62" s="23">
        <f>IF(H19="","",H19)</f>
        <v/>
      </c>
      <c r="E62" s="45" t="n"/>
      <c r="F62" s="45" t="n"/>
      <c r="G62" s="44" t="n"/>
      <c r="H62" s="44" t="n"/>
      <c r="I62" s="45" t="n"/>
      <c r="J62" s="44" t="n"/>
      <c r="K62" s="44" t="n"/>
      <c r="L62" s="45" t="n"/>
      <c r="M62" s="45" t="n"/>
      <c r="N62" s="45" t="n"/>
      <c r="O62" s="44" t="n"/>
      <c r="P62" s="44" t="n"/>
      <c r="Q62" s="23">
        <f>IF(C62="","",IF(R62="","Ready","Not ready"))</f>
        <v/>
      </c>
      <c r="R62" s="8">
        <f>IF(C62="","",IF(C62="Block",IF(OR(E62="",E62&lt;1),"No trials set",IF(F62="","Trials that must pass not set",IF(F62&lt;E62,"Trials that must pass is lower than trials",IF(F62&gt;E62,"Trials that must pass is more than trials",IF(AND(D62&lt;&gt;"Yes",E62&lt;IF($C$47="",3,$C$47)),"Fewer trials than the minimum for non-deterministic cases",""))))),IF(C62="Human decides",IF(G62="","No owner",IF(I62&lt;&gt;"Yes","No halt criteria","")),IF(C62="Check downstream",IF(J62="","No downstream system named",IF(K62="","No team named for its pipeline",IF(L62="Partial","Output contract only partial",IF(L62&lt;&gt;"Yes","No output contract",IF(M62&lt;&gt;"Yes","Contract not verified before deploy",IF(N62&lt;&gt;"Yes","Cannot switch on together",IF(O62="","Nobody named who can halt",""))))))),IF(C62="Track",IF(P62="","No owner",""),"")))))</f>
        <v/>
      </c>
    </row>
    <row r="63" ht="30" customHeight="1">
      <c r="A63" s="20" t="n">
        <v>13</v>
      </c>
      <c r="B63" s="8">
        <f>IF(B20="","",B20)</f>
        <v/>
      </c>
      <c r="C63" s="23">
        <f>IF(K20="","",K20)</f>
        <v/>
      </c>
      <c r="D63" s="23">
        <f>IF(H20="","",H20)</f>
        <v/>
      </c>
      <c r="E63" s="45" t="n"/>
      <c r="F63" s="45" t="n"/>
      <c r="G63" s="44" t="n"/>
      <c r="H63" s="44" t="n"/>
      <c r="I63" s="45" t="n"/>
      <c r="J63" s="44" t="n"/>
      <c r="K63" s="44" t="n"/>
      <c r="L63" s="45" t="n"/>
      <c r="M63" s="45" t="n"/>
      <c r="N63" s="45" t="n"/>
      <c r="O63" s="44" t="n"/>
      <c r="P63" s="44" t="n"/>
      <c r="Q63" s="23">
        <f>IF(C63="","",IF(R63="","Ready","Not ready"))</f>
        <v/>
      </c>
      <c r="R63" s="8">
        <f>IF(C63="","",IF(C63="Block",IF(OR(E63="",E63&lt;1),"No trials set",IF(F63="","Trials that must pass not set",IF(F63&lt;E63,"Trials that must pass is lower than trials",IF(F63&gt;E63,"Trials that must pass is more than trials",IF(AND(D63&lt;&gt;"Yes",E63&lt;IF($C$47="",3,$C$47)),"Fewer trials than the minimum for non-deterministic cases",""))))),IF(C63="Human decides",IF(G63="","No owner",IF(I63&lt;&gt;"Yes","No halt criteria","")),IF(C63="Check downstream",IF(J63="","No downstream system named",IF(K63="","No team named for its pipeline",IF(L63="Partial","Output contract only partial",IF(L63&lt;&gt;"Yes","No output contract",IF(M63&lt;&gt;"Yes","Contract not verified before deploy",IF(N63&lt;&gt;"Yes","Cannot switch on together",IF(O63="","Nobody named who can halt",""))))))),IF(C63="Track",IF(P63="","No owner",""),"")))))</f>
        <v/>
      </c>
    </row>
    <row r="64" ht="30" customHeight="1">
      <c r="A64" s="20" t="n">
        <v>14</v>
      </c>
      <c r="B64" s="8">
        <f>IF(B21="","",B21)</f>
        <v/>
      </c>
      <c r="C64" s="23">
        <f>IF(K21="","",K21)</f>
        <v/>
      </c>
      <c r="D64" s="23">
        <f>IF(H21="","",H21)</f>
        <v/>
      </c>
      <c r="E64" s="45" t="n"/>
      <c r="F64" s="45" t="n"/>
      <c r="G64" s="44" t="n"/>
      <c r="H64" s="44" t="n"/>
      <c r="I64" s="45" t="n"/>
      <c r="J64" s="44" t="n"/>
      <c r="K64" s="44" t="n"/>
      <c r="L64" s="45" t="n"/>
      <c r="M64" s="45" t="n"/>
      <c r="N64" s="45" t="n"/>
      <c r="O64" s="44" t="n"/>
      <c r="P64" s="44" t="n"/>
      <c r="Q64" s="23">
        <f>IF(C64="","",IF(R64="","Ready","Not ready"))</f>
        <v/>
      </c>
      <c r="R64" s="8">
        <f>IF(C64="","",IF(C64="Block",IF(OR(E64="",E64&lt;1),"No trials set",IF(F64="","Trials that must pass not set",IF(F64&lt;E64,"Trials that must pass is lower than trials",IF(F64&gt;E64,"Trials that must pass is more than trials",IF(AND(D64&lt;&gt;"Yes",E64&lt;IF($C$47="",3,$C$47)),"Fewer trials than the minimum for non-deterministic cases",""))))),IF(C64="Human decides",IF(G64="","No owner",IF(I64&lt;&gt;"Yes","No halt criteria","")),IF(C64="Check downstream",IF(J64="","No downstream system named",IF(K64="","No team named for its pipeline",IF(L64="Partial","Output contract only partial",IF(L64&lt;&gt;"Yes","No output contract",IF(M64&lt;&gt;"Yes","Contract not verified before deploy",IF(N64&lt;&gt;"Yes","Cannot switch on together",IF(O64="","Nobody named who can halt",""))))))),IF(C64="Track",IF(P64="","No owner",""),"")))))</f>
        <v/>
      </c>
    </row>
    <row r="65" ht="30" customHeight="1">
      <c r="A65" s="20" t="n">
        <v>15</v>
      </c>
      <c r="B65" s="8">
        <f>IF(B22="","",B22)</f>
        <v/>
      </c>
      <c r="C65" s="23">
        <f>IF(K22="","",K22)</f>
        <v/>
      </c>
      <c r="D65" s="23">
        <f>IF(H22="","",H22)</f>
        <v/>
      </c>
      <c r="E65" s="45" t="n"/>
      <c r="F65" s="45" t="n"/>
      <c r="G65" s="44" t="n"/>
      <c r="H65" s="44" t="n"/>
      <c r="I65" s="45" t="n"/>
      <c r="J65" s="44" t="n"/>
      <c r="K65" s="44" t="n"/>
      <c r="L65" s="45" t="n"/>
      <c r="M65" s="45" t="n"/>
      <c r="N65" s="45" t="n"/>
      <c r="O65" s="44" t="n"/>
      <c r="P65" s="44" t="n"/>
      <c r="Q65" s="23">
        <f>IF(C65="","",IF(R65="","Ready","Not ready"))</f>
        <v/>
      </c>
      <c r="R65" s="8">
        <f>IF(C65="","",IF(C65="Block",IF(OR(E65="",E65&lt;1),"No trials set",IF(F65="","Trials that must pass not set",IF(F65&lt;E65,"Trials that must pass is lower than trials",IF(F65&gt;E65,"Trials that must pass is more than trials",IF(AND(D65&lt;&gt;"Yes",E65&lt;IF($C$47="",3,$C$47)),"Fewer trials than the minimum for non-deterministic cases",""))))),IF(C65="Human decides",IF(G65="","No owner",IF(I65&lt;&gt;"Yes","No halt criteria","")),IF(C65="Check downstream",IF(J65="","No downstream system named",IF(K65="","No team named for its pipeline",IF(L65="Partial","Output contract only partial",IF(L65&lt;&gt;"Yes","No output contract",IF(M65&lt;&gt;"Yes","Contract not verified before deploy",IF(N65&lt;&gt;"Yes","Cannot switch on together",IF(O65="","Nobody named who can halt",""))))))),IF(C65="Track",IF(P65="","No owner",""),"")))))</f>
        <v/>
      </c>
    </row>
    <row r="66" ht="30" customHeight="1">
      <c r="A66" s="20" t="n">
        <v>16</v>
      </c>
      <c r="B66" s="8">
        <f>IF(B23="","",B23)</f>
        <v/>
      </c>
      <c r="C66" s="23">
        <f>IF(K23="","",K23)</f>
        <v/>
      </c>
      <c r="D66" s="23">
        <f>IF(H23="","",H23)</f>
        <v/>
      </c>
      <c r="E66" s="45" t="n"/>
      <c r="F66" s="45" t="n"/>
      <c r="G66" s="44" t="n"/>
      <c r="H66" s="44" t="n"/>
      <c r="I66" s="45" t="n"/>
      <c r="J66" s="44" t="n"/>
      <c r="K66" s="44" t="n"/>
      <c r="L66" s="45" t="n"/>
      <c r="M66" s="45" t="n"/>
      <c r="N66" s="45" t="n"/>
      <c r="O66" s="44" t="n"/>
      <c r="P66" s="44" t="n"/>
      <c r="Q66" s="23">
        <f>IF(C66="","",IF(R66="","Ready","Not ready"))</f>
        <v/>
      </c>
      <c r="R66" s="8">
        <f>IF(C66="","",IF(C66="Block",IF(OR(E66="",E66&lt;1),"No trials set",IF(F66="","Trials that must pass not set",IF(F66&lt;E66,"Trials that must pass is lower than trials",IF(F66&gt;E66,"Trials that must pass is more than trials",IF(AND(D66&lt;&gt;"Yes",E66&lt;IF($C$47="",3,$C$47)),"Fewer trials than the minimum for non-deterministic cases",""))))),IF(C66="Human decides",IF(G66="","No owner",IF(I66&lt;&gt;"Yes","No halt criteria","")),IF(C66="Check downstream",IF(J66="","No downstream system named",IF(K66="","No team named for its pipeline",IF(L66="Partial","Output contract only partial",IF(L66&lt;&gt;"Yes","No output contract",IF(M66&lt;&gt;"Yes","Contract not verified before deploy",IF(N66&lt;&gt;"Yes","Cannot switch on together",IF(O66="","Nobody named who can halt",""))))))),IF(C66="Track",IF(P66="","No owner",""),"")))))</f>
        <v/>
      </c>
    </row>
    <row r="67" ht="30" customHeight="1">
      <c r="A67" s="20" t="n">
        <v>17</v>
      </c>
      <c r="B67" s="8">
        <f>IF(B24="","",B24)</f>
        <v/>
      </c>
      <c r="C67" s="23">
        <f>IF(K24="","",K24)</f>
        <v/>
      </c>
      <c r="D67" s="23">
        <f>IF(H24="","",H24)</f>
        <v/>
      </c>
      <c r="E67" s="45" t="n"/>
      <c r="F67" s="45" t="n"/>
      <c r="G67" s="44" t="n"/>
      <c r="H67" s="44" t="n"/>
      <c r="I67" s="45" t="n"/>
      <c r="J67" s="44" t="n"/>
      <c r="K67" s="44" t="n"/>
      <c r="L67" s="45" t="n"/>
      <c r="M67" s="45" t="n"/>
      <c r="N67" s="45" t="n"/>
      <c r="O67" s="44" t="n"/>
      <c r="P67" s="44" t="n"/>
      <c r="Q67" s="23">
        <f>IF(C67="","",IF(R67="","Ready","Not ready"))</f>
        <v/>
      </c>
      <c r="R67" s="8">
        <f>IF(C67="","",IF(C67="Block",IF(OR(E67="",E67&lt;1),"No trials set",IF(F67="","Trials that must pass not set",IF(F67&lt;E67,"Trials that must pass is lower than trials",IF(F67&gt;E67,"Trials that must pass is more than trials",IF(AND(D67&lt;&gt;"Yes",E67&lt;IF($C$47="",3,$C$47)),"Fewer trials than the minimum for non-deterministic cases",""))))),IF(C67="Human decides",IF(G67="","No owner",IF(I67&lt;&gt;"Yes","No halt criteria","")),IF(C67="Check downstream",IF(J67="","No downstream system named",IF(K67="","No team named for its pipeline",IF(L67="Partial","Output contract only partial",IF(L67&lt;&gt;"Yes","No output contract",IF(M67&lt;&gt;"Yes","Contract not verified before deploy",IF(N67&lt;&gt;"Yes","Cannot switch on together",IF(O67="","Nobody named who can halt",""))))))),IF(C67="Track",IF(P67="","No owner",""),"")))))</f>
        <v/>
      </c>
    </row>
    <row r="68" ht="30" customHeight="1">
      <c r="A68" s="20" t="n">
        <v>18</v>
      </c>
      <c r="B68" s="8">
        <f>IF(B25="","",B25)</f>
        <v/>
      </c>
      <c r="C68" s="23">
        <f>IF(K25="","",K25)</f>
        <v/>
      </c>
      <c r="D68" s="23">
        <f>IF(H25="","",H25)</f>
        <v/>
      </c>
      <c r="E68" s="45" t="n"/>
      <c r="F68" s="45" t="n"/>
      <c r="G68" s="44" t="n"/>
      <c r="H68" s="44" t="n"/>
      <c r="I68" s="45" t="n"/>
      <c r="J68" s="44" t="n"/>
      <c r="K68" s="44" t="n"/>
      <c r="L68" s="45" t="n"/>
      <c r="M68" s="45" t="n"/>
      <c r="N68" s="45" t="n"/>
      <c r="O68" s="44" t="n"/>
      <c r="P68" s="44" t="n"/>
      <c r="Q68" s="23">
        <f>IF(C68="","",IF(R68="","Ready","Not ready"))</f>
        <v/>
      </c>
      <c r="R68" s="8">
        <f>IF(C68="","",IF(C68="Block",IF(OR(E68="",E68&lt;1),"No trials set",IF(F68="","Trials that must pass not set",IF(F68&lt;E68,"Trials that must pass is lower than trials",IF(F68&gt;E68,"Trials that must pass is more than trials",IF(AND(D68&lt;&gt;"Yes",E68&lt;IF($C$47="",3,$C$47)),"Fewer trials than the minimum for non-deterministic cases",""))))),IF(C68="Human decides",IF(G68="","No owner",IF(I68&lt;&gt;"Yes","No halt criteria","")),IF(C68="Check downstream",IF(J68="","No downstream system named",IF(K68="","No team named for its pipeline",IF(L68="Partial","Output contract only partial",IF(L68&lt;&gt;"Yes","No output contract",IF(M68&lt;&gt;"Yes","Contract not verified before deploy",IF(N68&lt;&gt;"Yes","Cannot switch on together",IF(O68="","Nobody named who can halt",""))))))),IF(C68="Track",IF(P68="","No owner",""),"")))))</f>
        <v/>
      </c>
    </row>
    <row r="69" ht="30" customHeight="1">
      <c r="A69" s="20" t="n">
        <v>19</v>
      </c>
      <c r="B69" s="8">
        <f>IF(B26="","",B26)</f>
        <v/>
      </c>
      <c r="C69" s="23">
        <f>IF(K26="","",K26)</f>
        <v/>
      </c>
      <c r="D69" s="23">
        <f>IF(H26="","",H26)</f>
        <v/>
      </c>
      <c r="E69" s="45" t="n"/>
      <c r="F69" s="45" t="n"/>
      <c r="G69" s="44" t="n"/>
      <c r="H69" s="44" t="n"/>
      <c r="I69" s="45" t="n"/>
      <c r="J69" s="44" t="n"/>
      <c r="K69" s="44" t="n"/>
      <c r="L69" s="45" t="n"/>
      <c r="M69" s="45" t="n"/>
      <c r="N69" s="45" t="n"/>
      <c r="O69" s="44" t="n"/>
      <c r="P69" s="44" t="n"/>
      <c r="Q69" s="23">
        <f>IF(C69="","",IF(R69="","Ready","Not ready"))</f>
        <v/>
      </c>
      <c r="R69" s="8">
        <f>IF(C69="","",IF(C69="Block",IF(OR(E69="",E69&lt;1),"No trials set",IF(F69="","Trials that must pass not set",IF(F69&lt;E69,"Trials that must pass is lower than trials",IF(F69&gt;E69,"Trials that must pass is more than trials",IF(AND(D69&lt;&gt;"Yes",E69&lt;IF($C$47="",3,$C$47)),"Fewer trials than the minimum for non-deterministic cases",""))))),IF(C69="Human decides",IF(G69="","No owner",IF(I69&lt;&gt;"Yes","No halt criteria","")),IF(C69="Check downstream",IF(J69="","No downstream system named",IF(K69="","No team named for its pipeline",IF(L69="Partial","Output contract only partial",IF(L69&lt;&gt;"Yes","No output contract",IF(M69&lt;&gt;"Yes","Contract not verified before deploy",IF(N69&lt;&gt;"Yes","Cannot switch on together",IF(O69="","Nobody named who can halt",""))))))),IF(C69="Track",IF(P69="","No owner",""),"")))))</f>
        <v/>
      </c>
    </row>
    <row r="70" ht="30" customHeight="1">
      <c r="A70" s="20" t="n">
        <v>20</v>
      </c>
      <c r="B70" s="8">
        <f>IF(B27="","",B27)</f>
        <v/>
      </c>
      <c r="C70" s="23">
        <f>IF(K27="","",K27)</f>
        <v/>
      </c>
      <c r="D70" s="23">
        <f>IF(H27="","",H27)</f>
        <v/>
      </c>
      <c r="E70" s="45" t="n"/>
      <c r="F70" s="45" t="n"/>
      <c r="G70" s="44" t="n"/>
      <c r="H70" s="44" t="n"/>
      <c r="I70" s="45" t="n"/>
      <c r="J70" s="44" t="n"/>
      <c r="K70" s="44" t="n"/>
      <c r="L70" s="45" t="n"/>
      <c r="M70" s="45" t="n"/>
      <c r="N70" s="45" t="n"/>
      <c r="O70" s="44" t="n"/>
      <c r="P70" s="44" t="n"/>
      <c r="Q70" s="23">
        <f>IF(C70="","",IF(R70="","Ready","Not ready"))</f>
        <v/>
      </c>
      <c r="R70" s="8">
        <f>IF(C70="","",IF(C70="Block",IF(OR(E70="",E70&lt;1),"No trials set",IF(F70="","Trials that must pass not set",IF(F70&lt;E70,"Trials that must pass is lower than trials",IF(F70&gt;E70,"Trials that must pass is more than trials",IF(AND(D70&lt;&gt;"Yes",E70&lt;IF($C$47="",3,$C$47)),"Fewer trials than the minimum for non-deterministic cases",""))))),IF(C70="Human decides",IF(G70="","No owner",IF(I70&lt;&gt;"Yes","No halt criteria","")),IF(C70="Check downstream",IF(J70="","No downstream system named",IF(K70="","No team named for its pipeline",IF(L70="Partial","Output contract only partial",IF(L70&lt;&gt;"Yes","No output contract",IF(M70&lt;&gt;"Yes","Contract not verified before deploy",IF(N70&lt;&gt;"Yes","Cannot switch on together",IF(O70="","Nobody named who can halt",""))))))),IF(C70="Track",IF(P70="","No owner",""),"")))))</f>
        <v/>
      </c>
    </row>
    <row r="72" ht="26" customHeight="1">
      <c r="A72" s="24" t="inlineStr">
        <is>
          <t>Summary</t>
        </is>
      </c>
    </row>
    <row r="73">
      <c r="A73" s="26" t="inlineStr">
        <is>
          <t>BY ROUTE</t>
        </is>
      </c>
      <c r="B73" s="27" t="n"/>
      <c r="C73" s="27" t="inlineStr">
        <is>
          <t>Cases</t>
        </is>
      </c>
      <c r="D73" s="27" t="inlineStr">
        <is>
          <t>Ready</t>
        </is>
      </c>
    </row>
    <row r="74" ht="22" customHeight="1">
      <c r="B74" s="28" t="inlineStr">
        <is>
          <t>Block</t>
        </is>
      </c>
      <c r="C74" s="29">
        <f>COUNTIF(C51:C70,"Block")</f>
        <v/>
      </c>
      <c r="D74" s="29">
        <f>COUNTIFS(C51:C70,"Block",Q51:Q70,"Ready")</f>
        <v/>
      </c>
    </row>
    <row r="75" ht="22" customHeight="1">
      <c r="B75" s="31" t="inlineStr">
        <is>
          <t>Human decides</t>
        </is>
      </c>
      <c r="C75" s="29">
        <f>COUNTIF(C51:C70,"Human decides")</f>
        <v/>
      </c>
      <c r="D75" s="29">
        <f>COUNTIFS(C51:C70,"Human decides",Q51:Q70,"Ready")</f>
        <v/>
      </c>
    </row>
    <row r="76" ht="22" customHeight="1">
      <c r="B76" s="32" t="inlineStr">
        <is>
          <t>Check downstream</t>
        </is>
      </c>
      <c r="C76" s="29">
        <f>COUNTIF(C51:C70,"Check downstream")</f>
        <v/>
      </c>
      <c r="D76" s="29">
        <f>COUNTIFS(C51:C70,"Check downstream",Q51:Q70,"Ready")</f>
        <v/>
      </c>
    </row>
    <row r="77" ht="22" customHeight="1">
      <c r="B77" s="33" t="inlineStr">
        <is>
          <t>Track</t>
        </is>
      </c>
      <c r="C77" s="29">
        <f>COUNTIF(C51:C70,"Track")</f>
        <v/>
      </c>
      <c r="D77" s="29">
        <f>COUNTIFS(C51:C70,"Track",Q51:Q70,"Ready")</f>
        <v/>
      </c>
    </row>
    <row r="79" ht="24" customHeight="1">
      <c r="A79" s="13" t="inlineStr">
        <is>
          <t>Routes not ready</t>
        </is>
      </c>
      <c r="C79" s="25">
        <f>COUNTIF(Q51:Q70,"Not ready")</f>
        <v/>
      </c>
      <c r="D79" s="19" t="inlineStr">
        <is>
          <t>Column R names the first thing missing on each.</t>
        </is>
      </c>
    </row>
    <row r="80" ht="24" customHeight="1">
      <c r="A80" s="13" t="inlineStr">
        <is>
          <t>Block cases not ready</t>
        </is>
      </c>
      <c r="C80" s="25">
        <f>COUNTIFS(C51:C70,"Block",Q51:Q70,"Not ready")</f>
        <v/>
      </c>
    </row>
    <row r="81" ht="24" customHeight="1">
      <c r="A81" s="13" t="inlineStr">
        <is>
          <t>Human cases not ready</t>
        </is>
      </c>
      <c r="C81" s="25">
        <f>COUNTIFS(C51:C70,"Human decides",Q51:Q70,"Not ready")</f>
        <v/>
      </c>
    </row>
    <row r="82" ht="24" customHeight="1">
      <c r="A82" s="13" t="inlineStr">
        <is>
          <t>Human cases with no backup owner</t>
        </is>
      </c>
      <c r="C82" s="25">
        <f>SUMPRODUCT((C51:C70="Human decides")*(H51:H70=""))</f>
        <v/>
      </c>
      <c r="D82" s="19" t="inlineStr">
        <is>
          <t>Scored by check 6, not by Route ready.</t>
        </is>
      </c>
    </row>
    <row r="83" ht="24" customHeight="1">
      <c r="A83" s="13" t="inlineStr">
        <is>
          <t>Downstream cases without a verified contract</t>
        </is>
      </c>
      <c r="C83" s="25">
        <f>SUMPRODUCT((C51:C70="Check downstream")*(((L51:L70&lt;&gt;"Yes")+(M51:M70&lt;&gt;"Yes"))&gt;0))</f>
        <v/>
      </c>
      <c r="D83" s="19" t="inlineStr">
        <is>
          <t>The contract is not Yes, or the downstream side does not verify it before deploying.</t>
        </is>
      </c>
    </row>
    <row r="86" ht="28" customHeight="1">
      <c r="A86" s="18" t="inlineStr">
        <is>
          <t>3 · Checklist</t>
        </is>
      </c>
    </row>
    <row r="87" ht="20" customHeight="1">
      <c r="A87" s="3" t="inlineStr">
        <is>
          <t>Is the gate ready to decide releases?</t>
        </is>
      </c>
    </row>
    <row r="88" ht="28" customHeight="1">
      <c r="A88" s="19" t="inlineStr">
        <is>
          <t>Answer each check from evidence, not from memory. The four marked ★ are critical: a No on any one of them is a Hold.</t>
        </is>
      </c>
    </row>
    <row r="90" ht="34" customHeight="1">
      <c r="A90" s="34" t="inlineStr">
        <is>
          <t>Decision</t>
        </is>
      </c>
      <c r="C90" s="39">
        <f>IF(OR(E96="No",E98="No",E100="No",E103="No"),"Hold",IF(COUNTA(E96:E105)&lt;10,"",IF(AND(SUM(F96:F105)&gt;=16,NOT(OR(E96="Partial",E98="Partial",E100="Partial",E103="Partial"))),"Ready","Fix first")))</f>
        <v/>
      </c>
      <c r="D90" s="13">
        <f>IF(C90="Hold","Don’t let this gate decide releases yet.",IF(C90="Fix first","No critical check is answered No, but the total is under 16 or a critical check is only Partial.",IF(C90="Ready","Every critical check is answered Yes, and the total is 16 or more.",IF(COUNTA(E96:E105)=0,"","Answer all 10 checks to see the decision."))))</f>
        <v/>
      </c>
    </row>
    <row r="91" ht="24" customHeight="1">
      <c r="A91" s="13" t="inlineStr">
        <is>
          <t>Total</t>
        </is>
      </c>
      <c r="C91" s="25">
        <f>SUM(F96:F105)</f>
        <v/>
      </c>
      <c r="D91" s="19" t="inlineStr">
        <is>
          <t>out of 20. Yes scores 2, Partial 1, No 0. Ready needs 16 or more and every critical check answered Yes.</t>
        </is>
      </c>
    </row>
    <row r="92" ht="24" customHeight="1">
      <c r="A92" s="13" t="inlineStr">
        <is>
          <t>Checks answered</t>
        </is>
      </c>
      <c r="C92" s="25">
        <f>COUNTA(E96:E105)</f>
        <v/>
      </c>
      <c r="D92" s="19" t="inlineStr">
        <is>
          <t>out of 10</t>
        </is>
      </c>
    </row>
    <row r="93" ht="40" customHeight="1">
      <c r="A93" s="34" t="inlineStr">
        <is>
          <t>Your next step</t>
        </is>
      </c>
      <c r="C93" s="8">
        <f>IF(MIN(Y96:Y105)&lt;9,INDEX(B96:B105,MATCH(MIN(Y96:Y105),Y96:Y105,0)),IF(COUNTA(E96:E105)=10,"No open items.",""))</f>
        <v/>
      </c>
    </row>
    <row r="95" ht="32" customHeight="1">
      <c r="A95" s="6" t="inlineStr">
        <is>
          <t>#</t>
        </is>
      </c>
      <c r="B95" s="6" t="inlineStr">
        <is>
          <t>Check</t>
        </is>
      </c>
      <c r="E95" s="6" t="inlineStr">
        <is>
          <t>Answer</t>
        </is>
      </c>
      <c r="F95" s="6" t="inlineStr">
        <is>
          <t>Points</t>
        </is>
      </c>
      <c r="G95" s="6" t="inlineStr">
        <is>
          <t>Status</t>
        </is>
      </c>
      <c r="H95" s="6" t="inlineStr">
        <is>
          <t>Evidence from the other tabs</t>
        </is>
      </c>
    </row>
    <row r="96" ht="36" customHeight="1">
      <c r="A96" s="23" t="inlineStr">
        <is>
          <t>1 ★</t>
        </is>
      </c>
      <c r="B96" s="8" t="inlineStr">
        <is>
          <t>Every gate case has a route.</t>
        </is>
      </c>
      <c r="C96" s="40" t="n"/>
      <c r="D96" s="40" t="n"/>
      <c r="E96" s="45" t="inlineStr">
        <is>
          <t>Yes</t>
        </is>
      </c>
      <c r="F96" s="23">
        <f>IF(E96="Yes",2,IF(E96="Partial",1,IF(E96="No",0,"")))</f>
        <v/>
      </c>
      <c r="G96" s="23">
        <f>IF(E96="Yes","Pass",IF(E96="Partial","Partial",IF(E96="No","Fail","")))</f>
        <v/>
      </c>
      <c r="H96" s="41">
        <f>"Unrouted cases (section 1): "&amp;C38</f>
        <v/>
      </c>
      <c r="Y96" s="16">
        <f>IF(E96="No",1,IF(E96="Partial",3,9))</f>
        <v/>
      </c>
    </row>
    <row r="97" ht="36" customHeight="1">
      <c r="A97" s="20" t="n">
        <v>2</v>
      </c>
      <c r="B97" s="8" t="inlineStr">
        <is>
          <t>Every route that differs from the suggestion has a written reason.</t>
        </is>
      </c>
      <c r="C97" s="40" t="n"/>
      <c r="D97" s="40" t="n"/>
      <c r="E97" s="45" t="inlineStr">
        <is>
          <t>Yes</t>
        </is>
      </c>
      <c r="F97" s="23">
        <f>IF(E97="Yes",2,IF(E97="Partial",1,IF(E97="No",0,"")))</f>
        <v/>
      </c>
      <c r="G97" s="23">
        <f>IF(E97="Yes","Pass",IF(E97="Partial","Partial",IF(E97="No","Fail","")))</f>
        <v/>
      </c>
      <c r="H97" s="41">
        <f>"Overrides with no reason (section 1): "&amp;C40</f>
        <v/>
      </c>
      <c r="Y97" s="16">
        <f>IF(E97="No",2,IF(E97="Partial",4,9))</f>
        <v/>
      </c>
    </row>
    <row r="98" ht="36" customHeight="1">
      <c r="A98" s="23" t="inlineStr">
        <is>
          <t>3 ★</t>
        </is>
      </c>
      <c r="B98" s="8" t="inlineStr">
        <is>
          <t>Block cases on non-deterministic behaviour run several trials and require every trial to pass.</t>
        </is>
      </c>
      <c r="C98" s="40" t="n"/>
      <c r="D98" s="40" t="n"/>
      <c r="E98" s="45" t="inlineStr">
        <is>
          <t>No</t>
        </is>
      </c>
      <c r="F98" s="23">
        <f>IF(E98="Yes",2,IF(E98="Partial",1,IF(E98="No",0,"")))</f>
        <v/>
      </c>
      <c r="G98" s="23">
        <f>IF(E98="Yes","Pass",IF(E98="Partial","Partial",IF(E98="No","Fail","")))</f>
        <v/>
      </c>
      <c r="H98" s="41">
        <f>"Block cases not ready (section 2): "&amp;C80</f>
        <v/>
      </c>
      <c r="Y98" s="16">
        <f>IF(E98="No",1,IF(E98="Partial",3,9))</f>
        <v/>
      </c>
    </row>
    <row r="99" ht="26" customHeight="1">
      <c r="A99" s="20" t="n">
        <v>4</v>
      </c>
      <c r="B99" s="8" t="inlineStr">
        <is>
          <t>Capability cases are tracked, not used to block a release.</t>
        </is>
      </c>
      <c r="C99" s="40" t="n"/>
      <c r="D99" s="40" t="n"/>
      <c r="E99" s="45" t="inlineStr">
        <is>
          <t>Yes</t>
        </is>
      </c>
      <c r="F99" s="23">
        <f>IF(E99="Yes",2,IF(E99="Partial",1,IF(E99="No",0,"")))</f>
        <v/>
      </c>
      <c r="G99" s="23">
        <f>IF(E99="Yes","Pass",IF(E99="Partial","Partial",IF(E99="No","Fail","")))</f>
        <v/>
      </c>
      <c r="H99" s="40" t="n"/>
      <c r="Y99" s="16">
        <f>IF(E99="No",2,IF(E99="Partial",4,9))</f>
        <v/>
      </c>
    </row>
    <row r="100" ht="36" customHeight="1">
      <c r="A100" s="23" t="inlineStr">
        <is>
          <t>5 ★</t>
        </is>
      </c>
      <c r="B100" s="8" t="inlineStr">
        <is>
          <t>Every Human decides case has a named owner and halt criteria written before the release.</t>
        </is>
      </c>
      <c r="C100" s="40" t="n"/>
      <c r="D100" s="40" t="n"/>
      <c r="E100" s="45" t="inlineStr">
        <is>
          <t>No</t>
        </is>
      </c>
      <c r="F100" s="23">
        <f>IF(E100="Yes",2,IF(E100="Partial",1,IF(E100="No",0,"")))</f>
        <v/>
      </c>
      <c r="G100" s="23">
        <f>IF(E100="Yes","Pass",IF(E100="Partial","Partial",IF(E100="No","Fail","")))</f>
        <v/>
      </c>
      <c r="H100" s="41">
        <f>"Human cases not ready (section 2): "&amp;C81</f>
        <v/>
      </c>
      <c r="Y100" s="16">
        <f>IF(E100="No",1,IF(E100="Partial",3,9))</f>
        <v/>
      </c>
    </row>
    <row r="101" ht="36" customHeight="1">
      <c r="A101" s="20" t="n">
        <v>6</v>
      </c>
      <c r="B101" s="8" t="inlineStr">
        <is>
          <t>Every Human decides case has a backup owner, so a release never waits on one person.</t>
        </is>
      </c>
      <c r="C101" s="40" t="n"/>
      <c r="D101" s="40" t="n"/>
      <c r="E101" s="45" t="inlineStr">
        <is>
          <t>No</t>
        </is>
      </c>
      <c r="F101" s="23">
        <f>IF(E101="Yes",2,IF(E101="Partial",1,IF(E101="No",0,"")))</f>
        <v/>
      </c>
      <c r="G101" s="23">
        <f>IF(E101="Yes","Pass",IF(E101="Partial","Partial",IF(E101="No","Fail","")))</f>
        <v/>
      </c>
      <c r="H101" s="41">
        <f>"Human cases with no backup owner (section 2): "&amp;C82</f>
        <v/>
      </c>
      <c r="Y101" s="16">
        <f>IF(E101="No",2,IF(E101="Partial",4,9))</f>
        <v/>
      </c>
    </row>
    <row r="102" ht="35" customHeight="1">
      <c r="A102" s="20" t="n">
        <v>7</v>
      </c>
      <c r="B102" s="8" t="inlineStr">
        <is>
          <t>Every Check downstream case names the system that acts on the output and the team that owns its pipeline.</t>
        </is>
      </c>
      <c r="C102" s="40" t="n"/>
      <c r="D102" s="40" t="n"/>
      <c r="E102" s="45" t="inlineStr">
        <is>
          <t>Yes</t>
        </is>
      </c>
      <c r="F102" s="23">
        <f>IF(E102="Yes",2,IF(E102="Partial",1,IF(E102="No",0,"")))</f>
        <v/>
      </c>
      <c r="G102" s="23">
        <f>IF(E102="Yes","Pass",IF(E102="Partial","Partial",IF(E102="No","Fail","")))</f>
        <v/>
      </c>
      <c r="H102" s="40" t="n"/>
      <c r="Y102" s="16">
        <f>IF(E102="No",2,IF(E102="Partial",4,9))</f>
        <v/>
      </c>
    </row>
    <row r="103" ht="36" customHeight="1">
      <c r="A103" s="23" t="inlineStr">
        <is>
          <t>8 ★</t>
        </is>
      </c>
      <c r="B103" s="8" t="inlineStr">
        <is>
          <t>The agent’s output has a contract that the downstream system verifies before either side deploys.</t>
        </is>
      </c>
      <c r="C103" s="40" t="n"/>
      <c r="D103" s="40" t="n"/>
      <c r="E103" s="45" t="inlineStr">
        <is>
          <t>Partial</t>
        </is>
      </c>
      <c r="F103" s="23">
        <f>IF(E103="Yes",2,IF(E103="Partial",1,IF(E103="No",0,"")))</f>
        <v/>
      </c>
      <c r="G103" s="23">
        <f>IF(E103="Yes","Pass",IF(E103="Partial","Partial",IF(E103="No","Fail","")))</f>
        <v/>
      </c>
      <c r="H103" s="41">
        <f>"Downstream cases without a verified contract (section 2): "&amp;C83</f>
        <v/>
      </c>
      <c r="Y103" s="16">
        <f>IF(E103="No",1,IF(E103="Partial",3,9))</f>
        <v/>
      </c>
    </row>
    <row r="104" ht="35" customHeight="1">
      <c r="A104" s="20" t="n">
        <v>9</v>
      </c>
      <c r="B104" s="8" t="inlineStr">
        <is>
          <t>New agent behaviour can be switched on together with the downstream system, and switched off without a redeploy.</t>
        </is>
      </c>
      <c r="C104" s="40" t="n"/>
      <c r="D104" s="40" t="n"/>
      <c r="E104" s="45" t="inlineStr">
        <is>
          <t>Yes</t>
        </is>
      </c>
      <c r="F104" s="23">
        <f>IF(E104="Yes",2,IF(E104="Partial",1,IF(E104="No",0,"")))</f>
        <v/>
      </c>
      <c r="G104" s="23">
        <f>IF(E104="Yes","Pass",IF(E104="Partial","Partial",IF(E104="No","Fail","")))</f>
        <v/>
      </c>
      <c r="H104" s="40" t="n"/>
      <c r="Y104" s="16">
        <f>IF(E104="No",2,IF(E104="Partial",4,9))</f>
        <v/>
      </c>
    </row>
    <row r="105" ht="35" customHeight="1">
      <c r="A105" s="20" t="n">
        <v>10</v>
      </c>
      <c r="B105" s="8" t="inlineStr">
        <is>
          <t>Changes to the agent’s output are made in expand-then-contract steps, so the old and new shapes work side by side until the downstream system has moved.</t>
        </is>
      </c>
      <c r="C105" s="40" t="n"/>
      <c r="D105" s="40" t="n"/>
      <c r="E105" s="45" t="inlineStr">
        <is>
          <t>Partial</t>
        </is>
      </c>
      <c r="F105" s="23">
        <f>IF(E105="Yes",2,IF(E105="Partial",1,IF(E105="No",0,"")))</f>
        <v/>
      </c>
      <c r="G105" s="23">
        <f>IF(E105="Yes","Pass",IF(E105="Partial","Partial",IF(E105="No","Fail","")))</f>
        <v/>
      </c>
      <c r="H105" s="40" t="n"/>
      <c r="Y105" s="16">
        <f>IF(E105="No",2,IF(E105="Partial",4,9))</f>
        <v/>
      </c>
    </row>
  </sheetData>
  <sheetProtection selectLockedCells="0" selectUnlockedCells="0" sheet="1" objects="0" insertRows="1" insertHyperlinks="1" autoFilter="1" scenarios="0" formatColumns="0" deleteColumns="1" insertColumns="1" pivotTables="1" deleteRows="1" formatCells="1" formatRows="0" sort="1"/>
  <mergeCells count="46">
    <mergeCell ref="A92:B92"/>
    <mergeCell ref="A30:B30"/>
    <mergeCell ref="B98:D98"/>
    <mergeCell ref="A5:M5"/>
    <mergeCell ref="A82:B82"/>
    <mergeCell ref="C93:H93"/>
    <mergeCell ref="J49:O49"/>
    <mergeCell ref="B101:D101"/>
    <mergeCell ref="A4:M4"/>
    <mergeCell ref="D90:H90"/>
    <mergeCell ref="D39:M39"/>
    <mergeCell ref="G49:I49"/>
    <mergeCell ref="A79:B79"/>
    <mergeCell ref="D38:M38"/>
    <mergeCell ref="B103:D103"/>
    <mergeCell ref="A88:H88"/>
    <mergeCell ref="D47:I47"/>
    <mergeCell ref="A87:H87"/>
    <mergeCell ref="B99:D99"/>
    <mergeCell ref="A90:B90"/>
    <mergeCell ref="A80:B80"/>
    <mergeCell ref="D83:I83"/>
    <mergeCell ref="B95:D95"/>
    <mergeCell ref="D82:I82"/>
    <mergeCell ref="B104:D104"/>
    <mergeCell ref="D91:H91"/>
    <mergeCell ref="A1:M1"/>
    <mergeCell ref="D40:M40"/>
    <mergeCell ref="A47:B47"/>
    <mergeCell ref="E49:F49"/>
    <mergeCell ref="D79:I79"/>
    <mergeCell ref="B97:D97"/>
    <mergeCell ref="A44:R44"/>
    <mergeCell ref="B100:D100"/>
    <mergeCell ref="A91:B91"/>
    <mergeCell ref="D92:H92"/>
    <mergeCell ref="A38:B38"/>
    <mergeCell ref="A81:B81"/>
    <mergeCell ref="B102:D102"/>
    <mergeCell ref="B96:D96"/>
    <mergeCell ref="A93:B93"/>
    <mergeCell ref="A45:R45"/>
    <mergeCell ref="B105:D105"/>
    <mergeCell ref="A40:B40"/>
    <mergeCell ref="A39:B39"/>
    <mergeCell ref="A83:B83"/>
  </mergeCells>
  <conditionalFormatting sqref="I8:I27">
    <cfRule type="expression" priority="1" dxfId="0">
      <formula>I8="Block"</formula>
    </cfRule>
    <cfRule type="expression" priority="2" dxfId="1">
      <formula>I8="Human decides"</formula>
    </cfRule>
    <cfRule type="expression" priority="3" dxfId="2">
      <formula>I8="Check downstream"</formula>
    </cfRule>
    <cfRule type="expression" priority="4" dxfId="3">
      <formula>I8="Track"</formula>
    </cfRule>
  </conditionalFormatting>
  <conditionalFormatting sqref="K8:K27">
    <cfRule type="expression" priority="5" dxfId="0">
      <formula>K8="Block"</formula>
    </cfRule>
    <cfRule type="expression" priority="6" dxfId="1">
      <formula>K8="Human decides"</formula>
    </cfRule>
    <cfRule type="expression" priority="7" dxfId="2">
      <formula>K8="Check downstream"</formula>
    </cfRule>
    <cfRule type="expression" priority="8" dxfId="3">
      <formula>K8="Track"</formula>
    </cfRule>
  </conditionalFormatting>
  <conditionalFormatting sqref="C38">
    <cfRule type="expression" priority="9" dxfId="4">
      <formula>C38&gt;0</formula>
    </cfRule>
  </conditionalFormatting>
  <conditionalFormatting sqref="C40">
    <cfRule type="expression" priority="10" dxfId="4">
      <formula>C40&gt;0</formula>
    </cfRule>
  </conditionalFormatting>
  <conditionalFormatting sqref="E51:F70">
    <cfRule type="expression" priority="11" dxfId="5">
      <formula>$C51&lt;&gt;"Block"</formula>
    </cfRule>
  </conditionalFormatting>
  <conditionalFormatting sqref="G51:I70">
    <cfRule type="expression" priority="12" dxfId="5">
      <formula>$C51&lt;&gt;"Human decides"</formula>
    </cfRule>
  </conditionalFormatting>
  <conditionalFormatting sqref="J51:O70">
    <cfRule type="expression" priority="13" dxfId="5">
      <formula>$C51&lt;&gt;"Check downstream"</formula>
    </cfRule>
  </conditionalFormatting>
  <conditionalFormatting sqref="P51:P70">
    <cfRule type="expression" priority="14" dxfId="5">
      <formula>$C51&lt;&gt;"Track"</formula>
    </cfRule>
  </conditionalFormatting>
  <conditionalFormatting sqref="C51:C70">
    <cfRule type="expression" priority="15" dxfId="0">
      <formula>C51="Block"</formula>
    </cfRule>
    <cfRule type="expression" priority="16" dxfId="1">
      <formula>C51="Human decides"</formula>
    </cfRule>
    <cfRule type="expression" priority="17" dxfId="2">
      <formula>C51="Check downstream"</formula>
    </cfRule>
    <cfRule type="expression" priority="18" dxfId="3">
      <formula>C51="Track"</formula>
    </cfRule>
  </conditionalFormatting>
  <conditionalFormatting sqref="Q51:Q70">
    <cfRule type="expression" priority="19" dxfId="6">
      <formula>Q51="Ready"</formula>
    </cfRule>
    <cfRule type="expression" priority="20" dxfId="0">
      <formula>Q51="Not ready"</formula>
    </cfRule>
  </conditionalFormatting>
  <conditionalFormatting sqref="C79">
    <cfRule type="expression" priority="21" dxfId="4">
      <formula>C79&gt;0</formula>
    </cfRule>
  </conditionalFormatting>
  <conditionalFormatting sqref="G96:G105">
    <cfRule type="expression" priority="22" dxfId="6">
      <formula>G96="Pass"</formula>
    </cfRule>
    <cfRule type="expression" priority="23" dxfId="1">
      <formula>G96="Partial"</formula>
    </cfRule>
    <cfRule type="expression" priority="24" dxfId="0">
      <formula>G96="Fail"</formula>
    </cfRule>
  </conditionalFormatting>
  <conditionalFormatting sqref="C90">
    <cfRule type="expression" priority="25" dxfId="7">
      <formula>C90="Ready"</formula>
    </cfRule>
    <cfRule type="expression" priority="26" dxfId="8">
      <formula>C90="Fix first"</formula>
    </cfRule>
    <cfRule type="expression" priority="27" dxfId="4">
      <formula>C90="Hold"</formula>
    </cfRule>
  </conditionalFormatting>
  <dataValidations count="11">
    <dataValidation sqref="D8 D9 D10 D11 D12 D13 D14 D15 D16 D17 D18 D19 D20 D21 D22 D23 D24 D25 D26 D27" showDropDown="0" showInputMessage="0" showErrorMessage="0" allowBlank="1" errorTitle="Not an option" error="Pick one of the options in the list." type="list">
      <formula1>$Z$1:$Z$2</formula1>
    </dataValidation>
    <dataValidation sqref="E8 E9 E10 E11 E12 E13 E14 E15 E16 E17 E18 E19 E20 E21 E22 E23 E24 E25 E26 E27" showDropDown="0" showInputMessage="0" showErrorMessage="0" allowBlank="1" errorTitle="Not an option" error="Pick one of the options in the list." type="list">
      <formula1>$Z$4:$Z$7</formula1>
    </dataValidation>
    <dataValidation sqref="F8 F9 F10 F11 F12 F13 F14 F15 F16 F17 F18 F19 F20 F21 F22 F23 F24 F25 F26 F27" showDropDown="0" showInputMessage="0" showErrorMessage="0" allowBlank="1" errorTitle="Not an option" error="Pick one of the options in the list." type="list">
      <formula1>$Z$9:$Z$11</formula1>
    </dataValidation>
    <dataValidation sqref="G8 G9 G10 G11 G12 G13 G14 G15 G16 G17 G18 G19 G20 G21 G22 G23 G24 G25 G26 G27 H8 H9 H10 H11 H12 H13 H14 H15 H16 H17 H18 H19 H20 H21 H22 H23 H24 H25 H26 H27 I51 I52 I53 I54 I55 I56 I57 I58 I59 I60 I61 I62 I63 I64 I65 I66 I67 I68 I69 I70 M51 M52 M53 M54 M55 M56 M57 M58 M59 M60 M61 M62 M63 M64 M65 M66 M67 M68 M69 M70 N51 N52 N53 N54 N55 N56 N57 N58 N59 N60 N61 N62 N63 N64 N65 N66 N67 N68 N69 N70" showDropDown="0" showInputMessage="0" showErrorMessage="0" allowBlank="1" errorTitle="Not an option" error="Pick one of the options in the list." type="list">
      <formula1>$Z$13:$Z$14</formula1>
    </dataValidation>
    <dataValidation sqref="J8 J9 J10 J11 J12 J13 J14 J15 J16 J17 J18 J19 J20 J21 J22 J23 J24 J25 J26 J27" showDropDown="0" showInputMessage="0" showErrorMessage="0" allowBlank="1" errorTitle="Not an option" error="Pick one of the options in the list." type="list">
      <formula1>$Z$16:$Z$19</formula1>
    </dataValidation>
    <dataValidation sqref="C47" showDropDown="0" showInputMessage="0" showErrorMessage="0" allowBlank="0" errorTitle="Minimum trials" error="Enter a whole number of 1 or more." type="whole" operator="greaterThanOrEqual">
      <formula1>1</formula1>
    </dataValidation>
    <dataValidation sqref="E96 E97 E98 E99 E100 E101 E102 E103 E104 E105 L51 L52 L53 L54 L55 L56 L57 L58 L59 L60 L61 L62 L63 L64 L65 L66 L67 L68 L69 L70" showDropDown="0" showInputMessage="0" showErrorMessage="0" allowBlank="1" errorTitle="Not an option" error="Pick one of the options in the list." type="list">
      <formula1>$Z$21:$Z$23</formula1>
    </dataValidation>
    <dataValidation sqref="E51 E52 E53 E54 E55 E56 E57 E58 E59 E60 E61 E62 E63 E64 E65 E66 E67 E68 E69 E70 F51 F52 F53 F54 F55 F56 F57 F58 F59 F60 F61 F62 F63 F64 F65 F66 F67 F68 F69 F70" showDropDown="0" showInputMessage="0" showErrorMessage="0" allowBlank="1" errorTitle="Trials" error="Enter a whole number of trials." type="whole" operator="greaterThanOrEqual">
      <formula1>0</formula1>
    </dataValidation>
    <dataValidation sqref="G51 G52 G53 G54 G55 G56 G57 G58 G59 G60 G61 G62 G63 G64 G65 G66 G67 G68 G69 G70 H51 H52 H53 H54 H55 H56 H57 H58 H59 H60 H61 H62 H63 H64 H65 H66 H67 H68 H69 H70" showDropDown="0" showInputMessage="0" showErrorMessage="0" allowBlank="1" errorTitle="Not this route" error="This column is for Human decides cases. Change the route on the Gate Inventory first." type="custom">
      <formula1>$C51="Human decides"</formula1>
    </dataValidation>
    <dataValidation sqref="J51 J52 J53 J54 J55 J56 J57 J58 J59 J60 J61 J62 J63 J64 J65 J66 J67 J68 J69 J70 K51 K52 K53 K54 K55 K56 K57 K58 K59 K60 K61 K62 K63 K64 K65 K66 K67 K68 K69 K70 O51 O52 O53 O54 O55 O56 O57 O58 O59 O60 O61 O62 O63 O64 O65 O66 O67 O68 O69 O70" showDropDown="0" showInputMessage="0" showErrorMessage="0" allowBlank="1" errorTitle="Not this route" error="This column is for Check downstream cases. Change the route on the Gate Inventory first." type="custom">
      <formula1>$C51="Check downstream"</formula1>
    </dataValidation>
    <dataValidation sqref="P51 P52 P53 P54 P55 P56 P57 P58 P59 P60 P61 P62 P63 P64 P65 P66 P67 P68 P69 P70" showDropDown="0" showInputMessage="0" showErrorMessage="0" allowBlank="1" errorTitle="Not this route" error="This column is for Track cases. Change the route on the Gate Inventory first." type="custom">
      <formula1>$C51="Track"</formula1>
    </dataValidation>
  </dataValidations>
  <printOptions horizontalCentered="1"/>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Sunil Mathew, co-authored with Claude</dc:creator>
  <dc:title>Gate Routing Map</dc:title>
  <dc:subject>A gate that only says pass or fail is hiding a decision. Give every case a route.</dc:subject>
  <dcterms:created xsi:type="dcterms:W3CDTF">2026-10-11T16:25:10Z</dcterms:created>
  <dcterms:modified xsi:type="dcterms:W3CDTF">2026-10-11T16:25:10Z</dcterms:modified>
</cp:coreProperties>
</file>