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heck" sheetId="2" state="visible" r:id="rId2"/>
    <sheet name="How to find these numbers" sheetId="3" state="visible" r:id="rId3"/>
    <sheet name="Example" sheetId="4" state="visible" r:id="rId4"/>
  </sheets>
  <definedNames/>
  <calcPr calcId="124519" fullCalcOnLoad="1"/>
</workbook>
</file>

<file path=xl/styles.xml><?xml version="1.0" encoding="utf-8"?>
<styleSheet xmlns="http://schemas.openxmlformats.org/spreadsheetml/2006/main">
  <numFmts count="5">
    <numFmt numFmtId="164" formatCode="[$-409]#,##0"/>
    <numFmt numFmtId="165" formatCode="0.0#"/>
    <numFmt numFmtId="166" formatCode="[$-409]#,##0.00"/>
    <numFmt numFmtId="167" formatCode="0.00&quot;×&quot;"/>
    <numFmt numFmtId="168" formatCode="0.0%"/>
  </numFmts>
  <fonts count="12">
    <font>
      <name val="Calibri"/>
      <family val="2"/>
      <color theme="1"/>
      <sz val="11"/>
      <scheme val="minor"/>
    </font>
    <font>
      <name val="Figtree"/>
      <b val="1"/>
      <color rgb="FF765523"/>
      <sz val="9"/>
    </font>
    <font>
      <name val="Source Serif 4"/>
      <color rgb="FF172E26"/>
      <sz val="26"/>
    </font>
    <font>
      <name val="Figtree"/>
      <color rgb="FF526259"/>
      <sz val="12"/>
    </font>
    <font>
      <name val="Figtree"/>
      <color rgb="FF526259"/>
      <sz val="9"/>
    </font>
    <font>
      <name val="Figtree"/>
      <color rgb="FF172E26"/>
      <sz val="11"/>
    </font>
    <font>
      <name val="Source Serif 4"/>
      <color rgb="FF172E26"/>
      <sz val="18"/>
    </font>
    <font>
      <name val="Figtree"/>
      <b val="1"/>
      <color rgb="FF172E26"/>
      <sz val="12"/>
    </font>
    <font>
      <name val="Figtree"/>
      <b val="1"/>
      <color rgb="FFF5F0E6"/>
      <sz val="10"/>
    </font>
    <font>
      <name val="Figtree"/>
      <b val="1"/>
      <color rgb="FF172E26"/>
      <sz val="11"/>
    </font>
    <font>
      <name val="Figtree"/>
      <i val="1"/>
      <color rgb="FF526259"/>
      <sz val="11"/>
    </font>
    <font>
      <name val="Figtree"/>
      <b val="1"/>
      <color rgb="FF172E26"/>
      <sz val="16"/>
    </font>
  </fonts>
  <fills count="4">
    <fill>
      <patternFill/>
    </fill>
    <fill>
      <patternFill patternType="gray125"/>
    </fill>
    <fill>
      <patternFill patternType="solid">
        <fgColor rgb="FFF4E9CE"/>
      </patternFill>
    </fill>
    <fill>
      <patternFill patternType="solid">
        <fgColor rgb="FF183D32"/>
      </patternFill>
    </fill>
  </fills>
  <borders count="3">
    <border>
      <left/>
      <right/>
      <top/>
      <bottom/>
      <diagonal/>
    </border>
    <border>
      <left style="thin">
        <color rgb="FF765523"/>
      </left>
      <right style="thin">
        <color rgb="FF765523"/>
      </right>
      <top style="thin">
        <color rgb="FF765523"/>
      </top>
      <bottom style="thin">
        <color rgb="FF765523"/>
      </bottom>
    </border>
    <border>
      <bottom style="thin">
        <color rgb="FFCBD1C8"/>
      </bottom>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top" wrapText="1"/>
    </xf>
    <xf numFmtId="0" fontId="4" fillId="0" borderId="0" applyAlignment="1" pivotButton="0" quotePrefix="0" xfId="0">
      <alignment horizontal="left" vertical="center"/>
    </xf>
    <xf numFmtId="0" fontId="1" fillId="0" borderId="0" applyAlignment="1" pivotButton="0" quotePrefix="0" xfId="0">
      <alignment horizontal="left" vertical="top"/>
    </xf>
    <xf numFmtId="0" fontId="5" fillId="0" borderId="0" applyAlignment="1" pivotButton="0" quotePrefix="0" xfId="0">
      <alignment horizontal="left" vertical="top" wrapText="1"/>
    </xf>
    <xf numFmtId="0" fontId="5" fillId="0" borderId="0" applyAlignment="1" pivotButton="0" quotePrefix="0" xfId="0">
      <alignment horizontal="left" vertical="center"/>
    </xf>
    <xf numFmtId="0" fontId="5" fillId="2" borderId="1" applyAlignment="1" applyProtection="1" pivotButton="0" quotePrefix="0" xfId="0">
      <alignment horizontal="left" vertical="center"/>
      <protection locked="0" hidden="0"/>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5" fillId="0" borderId="0" applyAlignment="1" pivotButton="0" quotePrefix="0" xfId="0">
      <alignment horizontal="left" vertical="center" wrapText="1"/>
    </xf>
    <xf numFmtId="164" fontId="5" fillId="2" borderId="1" applyAlignment="1" applyProtection="1" pivotButton="0" quotePrefix="0" xfId="0">
      <alignment horizontal="right" vertical="center"/>
      <protection locked="0" hidden="0"/>
    </xf>
    <xf numFmtId="0" fontId="4" fillId="0" borderId="0" applyAlignment="1" pivotButton="0" quotePrefix="0" xfId="0">
      <alignment horizontal="left" vertical="center" wrapText="1"/>
    </xf>
    <xf numFmtId="0" fontId="4" fillId="0" borderId="0" applyAlignment="1" pivotButton="0" quotePrefix="0" xfId="0">
      <alignment horizontal="left" vertical="top" wrapText="1"/>
    </xf>
    <xf numFmtId="0" fontId="8" fillId="3" borderId="0" applyAlignment="1" pivotButton="0" quotePrefix="0" xfId="0">
      <alignment horizontal="left" vertical="bottom" wrapText="1"/>
    </xf>
    <xf numFmtId="0" fontId="5" fillId="0" borderId="2" applyAlignment="1" pivotButton="0" quotePrefix="0" xfId="0">
      <alignment horizontal="left" vertical="center" wrapText="1"/>
    </xf>
    <xf numFmtId="0" fontId="5" fillId="2" borderId="1" applyAlignment="1" applyProtection="1" pivotButton="0" quotePrefix="0" xfId="0">
      <alignment horizontal="center" vertical="center"/>
      <protection locked="0" hidden="0"/>
    </xf>
    <xf numFmtId="165" fontId="5" fillId="2" borderId="1" applyAlignment="1" applyProtection="1" pivotButton="0" quotePrefix="0" xfId="0">
      <alignment horizontal="right" vertical="center"/>
      <protection locked="0" hidden="0"/>
    </xf>
    <xf numFmtId="164" fontId="9" fillId="0" borderId="2" applyAlignment="1" pivotButton="0" quotePrefix="0" xfId="0">
      <alignment horizontal="right" vertical="center"/>
    </xf>
    <xf numFmtId="1" fontId="5" fillId="2" borderId="1" applyAlignment="1" applyProtection="1" pivotButton="0" quotePrefix="0" xfId="0">
      <alignment horizontal="right" vertical="center"/>
      <protection locked="0" hidden="0"/>
    </xf>
    <xf numFmtId="0" fontId="5" fillId="0" borderId="0" applyAlignment="1" pivotButton="0" quotePrefix="0" xfId="0">
      <alignment horizontal="right" vertical="center"/>
    </xf>
    <xf numFmtId="0" fontId="10" fillId="2" borderId="1" applyAlignment="1" applyProtection="1" pivotButton="0" quotePrefix="0" xfId="0">
      <alignment horizontal="left" vertical="center"/>
      <protection locked="0" hidden="0"/>
    </xf>
    <xf numFmtId="166" fontId="5" fillId="2" borderId="1" applyAlignment="1" applyProtection="1" pivotButton="0" quotePrefix="0" xfId="0">
      <alignment horizontal="right" vertical="center"/>
      <protection locked="0" hidden="0"/>
    </xf>
    <xf numFmtId="0" fontId="9" fillId="0" borderId="0" applyAlignment="1" pivotButton="0" quotePrefix="0" xfId="0">
      <alignment horizontal="left" vertical="center" wrapText="1"/>
    </xf>
    <xf numFmtId="164" fontId="11" fillId="0" borderId="0" applyAlignment="1" pivotButton="0" quotePrefix="0" xfId="0">
      <alignment horizontal="right" vertical="center"/>
    </xf>
    <xf numFmtId="167" fontId="5" fillId="0" borderId="0" applyAlignment="1" pivotButton="0" quotePrefix="0" xfId="0">
      <alignment horizontal="right" vertical="center"/>
    </xf>
    <xf numFmtId="164" fontId="5" fillId="0" borderId="0" applyAlignment="1" pivotButton="0" quotePrefix="0" xfId="0">
      <alignment horizontal="right" vertical="center"/>
    </xf>
    <xf numFmtId="168" fontId="5" fillId="0" borderId="0" applyAlignment="1" pivotButton="0" quotePrefix="0" xfId="0">
      <alignment horizontal="right" vertical="center"/>
    </xf>
    <xf numFmtId="166" fontId="5" fillId="0" borderId="0" applyAlignment="1" pivotButton="0" quotePrefix="0" xfId="0">
      <alignment horizontal="right" vertical="center"/>
    </xf>
    <xf numFmtId="0" fontId="8" fillId="3" borderId="0" applyAlignment="1" pivotButton="0" quotePrefix="0" xfId="0">
      <alignment horizontal="left" vertical="center"/>
    </xf>
    <xf numFmtId="0" fontId="5" fillId="0" borderId="2" applyAlignment="1" pivotButton="0" quotePrefix="0" xfId="0">
      <alignment horizontal="center" vertical="center"/>
    </xf>
    <xf numFmtId="0" fontId="9" fillId="0" borderId="2" applyAlignment="1" pivotButton="0" quotePrefix="0" xfId="0">
      <alignment horizontal="center" vertical="center"/>
    </xf>
    <xf numFmtId="0" fontId="9" fillId="0" borderId="0" applyAlignment="1" pivotButton="0" quotePrefix="0" xfId="0">
      <alignment horizontal="left" vertical="top" wrapText="1"/>
    </xf>
  </cellXfs>
  <cellStyles count="1">
    <cellStyle name="Normal" xfId="0" builtinId="0" hidden="0"/>
  </cellStyles>
  <dxfs count="4">
    <dxf>
      <font>
        <name val="Figtree"/>
        <color rgb="FF526259"/>
        <sz val="11"/>
      </font>
      <fill>
        <patternFill patternType="solid">
          <fgColor rgb="FFF5F0E6"/>
        </patternFill>
      </fill>
    </dxf>
    <dxf>
      <font>
        <name val="Figtree"/>
        <b val="1"/>
        <color rgb="FF215C42"/>
        <sz val="11"/>
      </font>
      <fill>
        <patternFill patternType="solid">
          <fgColor rgb="FFE6EFE5"/>
        </patternFill>
      </fill>
    </dxf>
    <dxf>
      <font>
        <name val="Figtree"/>
        <b val="1"/>
        <color rgb="FF765523"/>
        <sz val="11"/>
      </font>
      <fill>
        <patternFill patternType="solid">
          <fgColor rgb="FFF4E9CE"/>
        </patternFill>
      </fill>
    </dxf>
    <dxf>
      <font>
        <name val="Figtree"/>
        <b val="1"/>
        <color rgb="FF963D34"/>
        <sz val="11"/>
      </font>
      <fill>
        <patternFill patternType="solid">
          <fgColor rgb="FFF7E8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14550" cy="4191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83D32"/>
    <outlinePr summaryBelow="1" summaryRight="1"/>
    <pageSetUpPr fitToPage="1"/>
  </sheetPr>
  <dimension ref="B4:D28"/>
  <sheetViews>
    <sheetView showGridLines="0" workbookViewId="0">
      <selection activeCell="A1" sqref="A1"/>
    </sheetView>
  </sheetViews>
  <sheetFormatPr baseColWidth="8" defaultRowHeight="15"/>
  <cols>
    <col width="2.4" customWidth="1" min="1" max="1"/>
    <col width="20" customWidth="1" min="2" max="2"/>
    <col width="64" customWidth="1" min="3" max="3"/>
    <col width="24" customWidth="1" min="4" max="4"/>
  </cols>
  <sheetData>
    <row r="2" ht="40" customHeight="1"/>
    <row r="3" ht="14" customHeight="1"/>
    <row r="4" ht="14" customHeight="1">
      <c r="B4" s="1" t="inlineStr">
        <is>
          <t>RESOURCES · AGENTIC SYSTEM DESIGN</t>
        </is>
      </c>
    </row>
    <row r="6" ht="38" customHeight="1">
      <c r="B6" s="2" t="inlineStr">
        <is>
          <t>Send-Back Cost Check</t>
        </is>
      </c>
    </row>
    <row r="7" ht="32" customHeight="1">
      <c r="B7" s="3" t="inlineStr">
        <is>
          <t>What does one task really cost once limits, judges, validators and reviewers send work back?</t>
        </is>
      </c>
    </row>
    <row r="8">
      <c r="B8" s="4" t="inlineStr">
        <is>
          <t>Sunil Mathew · The Living Craft</t>
        </is>
      </c>
    </row>
    <row r="10" ht="46" customHeight="1">
      <c r="B10" s="5" t="inlineStr">
        <is>
          <t>What to bring</t>
        </is>
      </c>
      <c r="C10" s="6" t="inlineStr">
        <is>
          <t>One agent workflow. Token counts from a handful of traces, or estimates. How often each check or limit sends work back. Your peak tasks per minute and your tokens-per-minute quota.</t>
        </is>
      </c>
    </row>
    <row r="12" ht="46" customHeight="1">
      <c r="B12" s="5" t="inlineStr">
        <is>
          <t>What to do</t>
        </is>
      </c>
      <c r="C12" s="6" t="inlineStr">
        <is>
          <t>List the paths that send work back, cost one round of each, set a cap and a final outcome for each, and add your per-task budget.</t>
        </is>
      </c>
    </row>
    <row r="14" ht="46" customHeight="1">
      <c r="B14" s="5" t="inlineStr">
        <is>
          <t>What you leave with</t>
        </is>
      </c>
      <c r="C14" s="6" t="inlineStr">
        <is>
          <t>Two numbers — typical cost per task and worst case at peak — plus a Pass, Attention or Fail on five checks, and the next fix to make.</t>
        </is>
      </c>
    </row>
    <row r="16" ht="46" customHeight="1">
      <c r="B16" s="5" t="inlineStr">
        <is>
          <t>How to use it</t>
        </is>
      </c>
      <c r="C16" s="6" t="inlineStr">
        <is>
          <t>Fill in the Check tab, top to bottom. The Example tab is the same sheet filled in. How to find these numbers says where each figure lives in your own system.</t>
        </is>
      </c>
    </row>
    <row r="18" ht="20" customHeight="1">
      <c r="B18" s="5" t="inlineStr">
        <is>
          <t>The five checks</t>
        </is>
      </c>
      <c r="C18" s="7" t="inlineStr">
        <is>
          <t>1.  Every path that sends work back is listed</t>
        </is>
      </c>
    </row>
    <row r="19" ht="20" customHeight="1">
      <c r="C19" s="7" t="inlineStr">
        <is>
          <t>2.  Each round is costed as repeated, review and growth</t>
        </is>
      </c>
    </row>
    <row r="20" ht="20" customHeight="1">
      <c r="C20" s="7" t="inlineStr">
        <is>
          <t>3.  Rounds are capped, and something happens after the last one</t>
        </is>
      </c>
    </row>
    <row r="21" ht="20" customHeight="1">
      <c r="C21" s="7" t="inlineStr">
        <is>
          <t>4.  Two numbers: unit economics and availability</t>
        </is>
      </c>
    </row>
    <row r="22" ht="20" customHeight="1">
      <c r="C22" s="7" t="inlineStr">
        <is>
          <t>5.  The budget belongs to the task, across all its rounds</t>
        </is>
      </c>
    </row>
    <row r="24" ht="22" customHeight="1">
      <c r="B24" s="5" t="inlineStr">
        <is>
          <t>Cell legend</t>
        </is>
      </c>
      <c r="C24" s="7" t="inlineStr">
        <is>
          <t>Shaded cells are yours to fill. Everything else calculates.</t>
        </is>
      </c>
    </row>
    <row r="25" ht="22" customHeight="1">
      <c r="C25" s="8" t="inlineStr">
        <is>
          <t>Yours to fill</t>
        </is>
      </c>
      <c r="D25" s="4" t="inlineStr">
        <is>
          <t>Shaded, with a thin border.</t>
        </is>
      </c>
    </row>
    <row r="26" ht="22" customHeight="1">
      <c r="C26" s="7" t="inlineStr">
        <is>
          <t>Calculates for you</t>
        </is>
      </c>
      <c r="D26" s="4" t="inlineStr">
        <is>
          <t>No fill, and locked.</t>
        </is>
      </c>
    </row>
    <row r="28">
      <c r="B28" s="4" t="inlineStr">
        <is>
          <t>© The Living Craft · thelivingcraft.ai · Content CC BY 4.0 · Code MIT</t>
        </is>
      </c>
    </row>
  </sheetData>
  <sheetProtection selectLockedCells="0" selectUnlockedCells="0" sheet="1" objects="0" insertRows="1" insertHyperlinks="1" autoFilter="1" scenarios="0" formatColumns="1" deleteColumns="1" insertColumns="1" pivotTables="1" deleteRows="1" formatCells="0" formatRows="1" sort="1"/>
  <mergeCells count="8">
    <mergeCell ref="B28:D28"/>
    <mergeCell ref="C12:D12"/>
    <mergeCell ref="C10:D10"/>
    <mergeCell ref="C16:D16"/>
    <mergeCell ref="B8:D8"/>
    <mergeCell ref="C14:D14"/>
    <mergeCell ref="B7:D7"/>
    <mergeCell ref="B6:D6"/>
  </mergeCells>
  <pageMargins left="0.4" right="0.4" top="0.4" bottom="0.4" header="0.5" footer="0.5"/>
  <pageSetup orientation="landscape"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T47"/>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10" customWidth="1" min="3" max="3"/>
    <col width="13" customWidth="1" min="4" max="4"/>
    <col width="14" customWidth="1" min="5" max="5"/>
    <col width="13" customWidth="1" min="6" max="6"/>
    <col width="15" customWidth="1" min="7" max="7"/>
    <col width="13" customWidth="1" min="8" max="8"/>
    <col width="12" customWidth="1" min="9" max="9"/>
    <col width="24" customWidth="1" min="10" max="10"/>
    <col width="18"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20" max="20"/>
  </cols>
  <sheetData>
    <row r="1" ht="26" customHeight="1">
      <c r="A1" s="9" t="inlineStr">
        <is>
          <t>Check</t>
        </is>
      </c>
      <c r="T1" t="inlineStr">
        <is>
          <t>Yes</t>
        </is>
      </c>
    </row>
    <row r="2" ht="18" customHeight="1">
      <c r="A2" s="3" t="inlineStr">
        <is>
          <t>What does one task really cost once limits, judges, validators and reviewers send work back?</t>
        </is>
      </c>
      <c r="T2" t="inlineStr">
        <is>
          <t>No</t>
        </is>
      </c>
    </row>
    <row r="4">
      <c r="A4" s="10" t="inlineStr">
        <is>
          <t>A · The workflow</t>
        </is>
      </c>
      <c r="T4" t="inlineStr">
        <is>
          <t>Fails and tells the user</t>
        </is>
      </c>
    </row>
    <row r="5" ht="20" customHeight="1">
      <c r="A5" s="11" t="inlineStr">
        <is>
          <t>Tokens for one clean run</t>
        </is>
      </c>
      <c r="C5" s="12" t="n"/>
      <c r="D5" s="13" t="inlineStr">
        <is>
          <t>Input and output, for a task nothing sent back.</t>
        </is>
      </c>
      <c r="T5" t="inlineStr">
        <is>
          <t>Hands to a human</t>
        </is>
      </c>
    </row>
    <row r="6" ht="20" customHeight="1">
      <c r="A6" s="11" t="inlineStr">
        <is>
          <t>Always-on checks</t>
        </is>
      </c>
      <c r="C6" s="12" t="n"/>
      <c r="D6" s="13" t="inlineStr">
        <is>
          <t>Checks that run on every task even when they pass. 0 if none.</t>
        </is>
      </c>
      <c r="T6" t="inlineStr">
        <is>
          <t>Ships with a warning</t>
        </is>
      </c>
    </row>
    <row r="7" ht="20" customHeight="1">
      <c r="A7" s="11" t="inlineStr">
        <is>
          <t>Peak tasks per minute</t>
        </is>
      </c>
      <c r="C7" s="12" t="n"/>
      <c r="D7" s="13" t="inlineStr">
        <is>
          <t>The busiest minute you expect.</t>
        </is>
      </c>
      <c r="T7" t="inlineStr">
        <is>
          <t>Queues for later</t>
        </is>
      </c>
    </row>
    <row r="8" ht="20" customHeight="1">
      <c r="A8" s="11" t="inlineStr">
        <is>
          <t>Tokens-per-minute quota</t>
        </is>
      </c>
      <c r="C8" s="12" t="n"/>
      <c r="D8" s="13" t="inlineStr">
        <is>
          <t>The shared limit this workflow draws from.</t>
        </is>
      </c>
      <c r="T8" t="inlineStr">
        <is>
          <t>Not decided</t>
        </is>
      </c>
    </row>
    <row r="10">
      <c r="T10" t="inlineStr">
        <is>
          <t>Per task, across all rounds</t>
        </is>
      </c>
    </row>
    <row r="11">
      <c r="A11" s="10" t="inlineStr">
        <is>
          <t>B · Paths that send work back</t>
        </is>
      </c>
      <c r="T11" t="inlineStr">
        <is>
          <t>Per call only</t>
        </is>
      </c>
    </row>
    <row r="12" ht="26" customHeight="1">
      <c r="A12" s="14" t="inlineStr">
        <is>
          <t>A round costs the same shape of thing whatever sent it back: the steps that run again, the check that re-reads the new attempt, and the extra context the redo carries. Zero is a real answer. Blank is not.</t>
        </is>
      </c>
      <c r="T12" t="inlineStr">
        <is>
          <t>Not enforced</t>
        </is>
      </c>
    </row>
    <row r="13" ht="30" customHeight="1">
      <c r="A13" s="15" t="inlineStr">
        <is>
          <t>Path</t>
        </is>
      </c>
      <c r="B13" s="15" t="inlineStr">
        <is>
          <t>Present?</t>
        </is>
      </c>
      <c r="C13" s="15" t="inlineStr">
        <is>
          <t>Billed?</t>
        </is>
      </c>
      <c r="D13" s="15" t="inlineStr">
        <is>
          <t>Avg rounds</t>
        </is>
      </c>
      <c r="E13" s="15" t="inlineStr">
        <is>
          <t>Work repeated</t>
        </is>
      </c>
      <c r="F13" s="15" t="inlineStr">
        <is>
          <t>Review call</t>
        </is>
      </c>
      <c r="G13" s="15" t="inlineStr">
        <is>
          <t>Context growth</t>
        </is>
      </c>
      <c r="H13" s="15" t="inlineStr">
        <is>
          <t>Round cost</t>
        </is>
      </c>
      <c r="I13" s="15" t="inlineStr">
        <is>
          <t>Max rounds</t>
        </is>
      </c>
      <c r="J13" s="15" t="inlineStr">
        <is>
          <t>After the last round…</t>
        </is>
      </c>
      <c r="K13" s="15" t="inlineStr">
        <is>
          <t>Owner</t>
        </is>
      </c>
    </row>
    <row r="14" ht="22" customHeight="1">
      <c r="A14" s="16" t="inlineStr">
        <is>
          <t>Transport refusal</t>
        </is>
      </c>
      <c r="B14" s="17" t="inlineStr">
        <is>
          <t>No</t>
        </is>
      </c>
      <c r="C14" s="17" t="inlineStr">
        <is>
          <t>No</t>
        </is>
      </c>
      <c r="D14" s="18" t="n"/>
      <c r="E14" s="12" t="n"/>
      <c r="F14" s="12" t="n"/>
      <c r="G14" s="12" t="n"/>
      <c r="H14" s="19">
        <f>IF(B14&lt;&gt;"Yes","",IF(OR(E14="",F14="",G14=""),"",E14+F14+G14))</f>
        <v/>
      </c>
      <c r="I14" s="20" t="n"/>
      <c r="J14" s="8" t="n"/>
      <c r="K14" s="8" t="n"/>
      <c r="N14" s="21">
        <f>IF(B14="Yes",IF(OR(D14="",H14=""),1,0),0)</f>
        <v/>
      </c>
      <c r="O14" s="21">
        <f>IF(AND(B14="Yes",N14=0),D14*H14,0)</f>
        <v/>
      </c>
      <c r="P14" s="21">
        <f>IF(B14="Yes",IF(OR(I14="",H14=""),1,0),0)</f>
        <v/>
      </c>
      <c r="Q14" s="21">
        <f>IF(AND(B14="Yes",P14=0),I14*H14,0)</f>
        <v/>
      </c>
      <c r="R14" s="21">
        <f>IF(AND(B14="Yes",I14=""),1,0)</f>
        <v/>
      </c>
    </row>
    <row r="15" ht="22" customHeight="1">
      <c r="A15" s="16" t="inlineStr">
        <is>
          <t>Judge / critic rejection</t>
        </is>
      </c>
      <c r="B15" s="17" t="inlineStr">
        <is>
          <t>No</t>
        </is>
      </c>
      <c r="C15" s="17" t="inlineStr">
        <is>
          <t>Yes</t>
        </is>
      </c>
      <c r="D15" s="18" t="n"/>
      <c r="E15" s="12" t="n"/>
      <c r="F15" s="12" t="n"/>
      <c r="G15" s="12" t="n"/>
      <c r="H15" s="19">
        <f>IF(B15&lt;&gt;"Yes","",IF(OR(E15="",F15="",G15=""),"",E15+F15+G15))</f>
        <v/>
      </c>
      <c r="I15" s="20" t="n"/>
      <c r="J15" s="8" t="n"/>
      <c r="K15" s="8" t="n"/>
      <c r="N15" s="21">
        <f>IF(B15="Yes",IF(OR(D15="",H15=""),1,0),0)</f>
        <v/>
      </c>
      <c r="O15" s="21">
        <f>IF(AND(B15="Yes",N15=0),D15*H15,0)</f>
        <v/>
      </c>
      <c r="P15" s="21">
        <f>IF(B15="Yes",IF(OR(I15="",H15=""),1,0),0)</f>
        <v/>
      </c>
      <c r="Q15" s="21">
        <f>IF(AND(B15="Yes",P15=0),I15*H15,0)</f>
        <v/>
      </c>
      <c r="R15" s="21">
        <f>IF(AND(B15="Yes",I15=""),1,0)</f>
        <v/>
      </c>
    </row>
    <row r="16" ht="22" customHeight="1">
      <c r="A16" s="16" t="inlineStr">
        <is>
          <t>Validation failure</t>
        </is>
      </c>
      <c r="B16" s="17" t="inlineStr">
        <is>
          <t>No</t>
        </is>
      </c>
      <c r="C16" s="17" t="inlineStr">
        <is>
          <t>Yes</t>
        </is>
      </c>
      <c r="D16" s="18" t="n"/>
      <c r="E16" s="12" t="n"/>
      <c r="F16" s="12" t="n"/>
      <c r="G16" s="12" t="n"/>
      <c r="H16" s="19">
        <f>IF(B16&lt;&gt;"Yes","",IF(OR(E16="",F16="",G16=""),"",E16+F16+G16))</f>
        <v/>
      </c>
      <c r="I16" s="20" t="n"/>
      <c r="J16" s="8" t="n"/>
      <c r="K16" s="8" t="n"/>
      <c r="N16" s="21">
        <f>IF(B16="Yes",IF(OR(D16="",H16=""),1,0),0)</f>
        <v/>
      </c>
      <c r="O16" s="21">
        <f>IF(AND(B16="Yes",N16=0),D16*H16,0)</f>
        <v/>
      </c>
      <c r="P16" s="21">
        <f>IF(B16="Yes",IF(OR(I16="",H16=""),1,0),0)</f>
        <v/>
      </c>
      <c r="Q16" s="21">
        <f>IF(AND(B16="Yes",P16=0),I16*H16,0)</f>
        <v/>
      </c>
      <c r="R16" s="21">
        <f>IF(AND(B16="Yes",I16=""),1,0)</f>
        <v/>
      </c>
    </row>
    <row r="17" ht="22" customHeight="1">
      <c r="A17" s="16" t="inlineStr">
        <is>
          <t>Tool error</t>
        </is>
      </c>
      <c r="B17" s="17" t="inlineStr">
        <is>
          <t>No</t>
        </is>
      </c>
      <c r="C17" s="17" t="inlineStr">
        <is>
          <t>Yes</t>
        </is>
      </c>
      <c r="D17" s="18" t="n"/>
      <c r="E17" s="12" t="n"/>
      <c r="F17" s="12" t="n"/>
      <c r="G17" s="12" t="n"/>
      <c r="H17" s="19">
        <f>IF(B17&lt;&gt;"Yes","",IF(OR(E17="",F17="",G17=""),"",E17+F17+G17))</f>
        <v/>
      </c>
      <c r="I17" s="20" t="n"/>
      <c r="J17" s="8" t="n"/>
      <c r="K17" s="8" t="n"/>
      <c r="N17" s="21">
        <f>IF(B17="Yes",IF(OR(D17="",H17=""),1,0),0)</f>
        <v/>
      </c>
      <c r="O17" s="21">
        <f>IF(AND(B17="Yes",N17=0),D17*H17,0)</f>
        <v/>
      </c>
      <c r="P17" s="21">
        <f>IF(B17="Yes",IF(OR(I17="",H17=""),1,0),0)</f>
        <v/>
      </c>
      <c r="Q17" s="21">
        <f>IF(AND(B17="Yes",P17=0),I17*H17,0)</f>
        <v/>
      </c>
      <c r="R17" s="21">
        <f>IF(AND(B17="Yes",I17=""),1,0)</f>
        <v/>
      </c>
    </row>
    <row r="18" ht="22" customHeight="1">
      <c r="A18" s="16" t="inlineStr">
        <is>
          <t>Human rejection</t>
        </is>
      </c>
      <c r="B18" s="17" t="inlineStr">
        <is>
          <t>No</t>
        </is>
      </c>
      <c r="C18" s="17" t="inlineStr">
        <is>
          <t>Yes</t>
        </is>
      </c>
      <c r="D18" s="18" t="n"/>
      <c r="E18" s="12" t="n"/>
      <c r="F18" s="12" t="n"/>
      <c r="G18" s="12" t="n"/>
      <c r="H18" s="19">
        <f>IF(B18&lt;&gt;"Yes","",IF(OR(E18="",F18="",G18=""),"",E18+F18+G18))</f>
        <v/>
      </c>
      <c r="I18" s="20" t="n"/>
      <c r="J18" s="8" t="n"/>
      <c r="K18" s="8" t="n"/>
      <c r="N18" s="21">
        <f>IF(B18="Yes",IF(OR(D18="",H18=""),1,0),0)</f>
        <v/>
      </c>
      <c r="O18" s="21">
        <f>IF(AND(B18="Yes",N18=0),D18*H18,0)</f>
        <v/>
      </c>
      <c r="P18" s="21">
        <f>IF(B18="Yes",IF(OR(I18="",H18=""),1,0),0)</f>
        <v/>
      </c>
      <c r="Q18" s="21">
        <f>IF(AND(B18="Yes",P18=0),I18*H18,0)</f>
        <v/>
      </c>
      <c r="R18" s="21">
        <f>IF(AND(B18="Yes",I18=""),1,0)</f>
        <v/>
      </c>
    </row>
    <row r="19" ht="22" customHeight="1">
      <c r="A19" s="22" t="inlineStr">
        <is>
          <t>Custom path 1</t>
        </is>
      </c>
      <c r="B19" s="17" t="inlineStr">
        <is>
          <t>No</t>
        </is>
      </c>
      <c r="C19" s="17" t="inlineStr">
        <is>
          <t>Yes</t>
        </is>
      </c>
      <c r="D19" s="18" t="n"/>
      <c r="E19" s="12" t="n"/>
      <c r="F19" s="12" t="n"/>
      <c r="G19" s="12" t="n"/>
      <c r="H19" s="19">
        <f>IF(B19&lt;&gt;"Yes","",IF(OR(E19="",F19="",G19=""),"",E19+F19+G19))</f>
        <v/>
      </c>
      <c r="I19" s="20" t="n"/>
      <c r="J19" s="8" t="n"/>
      <c r="K19" s="8" t="n"/>
      <c r="N19" s="21">
        <f>IF(B19="Yes",IF(OR(D19="",H19=""),1,0),0)</f>
        <v/>
      </c>
      <c r="O19" s="21">
        <f>IF(AND(B19="Yes",N19=0),D19*H19,0)</f>
        <v/>
      </c>
      <c r="P19" s="21">
        <f>IF(B19="Yes",IF(OR(I19="",H19=""),1,0),0)</f>
        <v/>
      </c>
      <c r="Q19" s="21">
        <f>IF(AND(B19="Yes",P19=0),I19*H19,0)</f>
        <v/>
      </c>
      <c r="R19" s="21">
        <f>IF(AND(B19="Yes",I19=""),1,0)</f>
        <v/>
      </c>
    </row>
    <row r="20" ht="22" customHeight="1">
      <c r="A20" s="22" t="inlineStr">
        <is>
          <t>Custom path 2</t>
        </is>
      </c>
      <c r="B20" s="17" t="inlineStr">
        <is>
          <t>No</t>
        </is>
      </c>
      <c r="C20" s="17" t="inlineStr">
        <is>
          <t>Yes</t>
        </is>
      </c>
      <c r="D20" s="18" t="n"/>
      <c r="E20" s="12" t="n"/>
      <c r="F20" s="12" t="n"/>
      <c r="G20" s="12" t="n"/>
      <c r="H20" s="19">
        <f>IF(B20&lt;&gt;"Yes","",IF(OR(E20="",F20="",G20=""),"",E20+F20+G20))</f>
        <v/>
      </c>
      <c r="I20" s="20" t="n"/>
      <c r="J20" s="8" t="n"/>
      <c r="K20" s="8" t="n"/>
      <c r="N20" s="21">
        <f>IF(B20="Yes",IF(OR(D20="",H20=""),1,0),0)</f>
        <v/>
      </c>
      <c r="O20" s="21">
        <f>IF(AND(B20="Yes",N20=0),D20*H20,0)</f>
        <v/>
      </c>
      <c r="P20" s="21">
        <f>IF(B20="Yes",IF(OR(I20="",H20=""),1,0),0)</f>
        <v/>
      </c>
      <c r="Q20" s="21">
        <f>IF(AND(B20="Yes",P20=0),I20*H20,0)</f>
        <v/>
      </c>
      <c r="R20" s="21">
        <f>IF(AND(B20="Yes",I20=""),1,0)</f>
        <v/>
      </c>
    </row>
    <row r="22">
      <c r="A22" s="10" t="inlineStr">
        <is>
          <t>C · Budget</t>
        </is>
      </c>
    </row>
    <row r="23">
      <c r="A23" s="11" t="inlineStr">
        <is>
          <t>Per-task token budget</t>
        </is>
      </c>
      <c r="C23" s="12" t="n"/>
    </row>
    <row r="24">
      <c r="A24" s="11" t="inlineStr">
        <is>
          <t>The budget is enforced…</t>
        </is>
      </c>
      <c r="C24" s="8" t="n"/>
    </row>
    <row r="25">
      <c r="A25" s="11" t="inlineStr">
        <is>
          <t>Blended price per million tokens (optional)</t>
        </is>
      </c>
      <c r="C25" s="23" t="n"/>
      <c r="E25" s="13" t="inlineStr">
        <is>
          <t>Your own currency. The workbook shows no symbol.</t>
        </is>
      </c>
    </row>
    <row r="27">
      <c r="A27" s="10" t="inlineStr">
        <is>
          <t>The two numbers</t>
        </is>
      </c>
    </row>
    <row r="28" ht="20" customHeight="1">
      <c r="A28" s="24" t="inlineStr">
        <is>
          <t>Typical cost per task</t>
        </is>
      </c>
      <c r="C28" s="25">
        <f>IF(OR(OR(C5="",C6=""),SUM(N14:N20)&gt;0),"",C5+C6+SUM(O14:O20))</f>
        <v/>
      </c>
      <c r="E28" s="13" t="inlineStr">
        <is>
          <t>Unit economics: what every task costs on a normal day.</t>
        </is>
      </c>
    </row>
    <row r="29" ht="20" customHeight="1">
      <c r="A29" s="11" t="inlineStr">
        <is>
          <t>…as a multiple of a clean run</t>
        </is>
      </c>
      <c r="C29" s="26">
        <f>IF(OR(C28="",C5="",C5&lt;=0),"",C28/C5)</f>
        <v/>
      </c>
    </row>
    <row r="30" ht="20" customHeight="1">
      <c r="A30" s="24" t="inlineStr">
        <is>
          <t>Typical demand at peak</t>
        </is>
      </c>
      <c r="C30" s="27">
        <f>IF(OR(C28="",C7=""),"",C7*C28)</f>
        <v/>
      </c>
    </row>
    <row r="31" ht="20" customHeight="1">
      <c r="A31" s="11" t="inlineStr">
        <is>
          <t>…as a share of the quota</t>
        </is>
      </c>
      <c r="C31" s="28">
        <f>IF(OR(C30="",C8="",C8&lt;=0),"",C30/C8)</f>
        <v/>
      </c>
    </row>
    <row r="32" ht="20" customHeight="1">
      <c r="A32" s="24" t="inlineStr">
        <is>
          <t>Worst case per task</t>
        </is>
      </c>
      <c r="C32" s="25">
        <f>IF((SUM(R14:R20)&gt;0),"Unbounded",IF(OR(OR(C5="",C6=""),(SUM(R14:R20)&gt;0),SUM(P14:P20)&gt;0),"",C5+C6+SUM(Q14:Q20)))</f>
        <v/>
      </c>
      <c r="E32" s="13" t="inlineStr">
        <is>
          <t>Availability: every loop at its cap.</t>
        </is>
      </c>
    </row>
    <row r="33" ht="20" customHeight="1">
      <c r="A33" s="11" t="inlineStr">
        <is>
          <t>…as a multiple of a clean run</t>
        </is>
      </c>
      <c r="C33" s="26">
        <f>IF(OR((SUM(R14:R20)&gt;0),C32="",C5="",C5&lt;=0),"",C32/C5)</f>
        <v/>
      </c>
    </row>
    <row r="34" ht="20" customHeight="1">
      <c r="A34" s="24" t="inlineStr">
        <is>
          <t>Worst case at peak</t>
        </is>
      </c>
      <c r="C34" s="27">
        <f>IF((SUM(R14:R20)&gt;0),"Unbounded",IF(OR(C32="",C7=""),"",C7*C32))</f>
        <v/>
      </c>
    </row>
    <row r="35" ht="20" customHeight="1">
      <c r="A35" s="11" t="inlineStr">
        <is>
          <t>…as a share of the quota</t>
        </is>
      </c>
      <c r="C35" s="28">
        <f>IF((SUM(R14:R20)&gt;0),"Unbounded",IF(OR(C34="",C8="",C8&lt;=0),"",C34/C8))</f>
        <v/>
      </c>
    </row>
    <row r="36" ht="20" customHeight="1">
      <c r="A36" s="24" t="inlineStr">
        <is>
          <t>Cost per task</t>
        </is>
      </c>
      <c r="C36" s="29">
        <f>IF(OR(C28="",C25=""),"",C28*C25/1000000)</f>
        <v/>
      </c>
      <c r="E36" s="13" t="inlineStr">
        <is>
          <t>Only when a price is entered.</t>
        </is>
      </c>
    </row>
    <row r="37" ht="20" customHeight="1">
      <c r="A37" s="24" t="inlineStr">
        <is>
          <t>Cost per 1,000 tasks</t>
        </is>
      </c>
      <c r="C37" s="29">
        <f>IF(C36="","",C36*1000)</f>
        <v/>
      </c>
    </row>
    <row r="39">
      <c r="A39" s="10" t="inlineStr">
        <is>
          <t>The five checks</t>
        </is>
      </c>
    </row>
    <row r="40" ht="20" customHeight="1">
      <c r="A40" s="30" t="inlineStr">
        <is>
          <t>#</t>
        </is>
      </c>
      <c r="B40" s="30" t="inlineStr">
        <is>
          <t>Check</t>
        </is>
      </c>
      <c r="C40" s="30" t="n"/>
      <c r="D40" s="30" t="n"/>
      <c r="E40" s="30" t="n"/>
      <c r="F40" s="30" t="inlineStr">
        <is>
          <t>Status</t>
        </is>
      </c>
      <c r="G40" s="30" t="inlineStr">
        <is>
          <t>Why</t>
        </is>
      </c>
      <c r="H40" s="30" t="n"/>
      <c r="I40" s="30" t="n"/>
      <c r="J40" s="30" t="n"/>
      <c r="K40" s="30" t="n"/>
    </row>
    <row r="41" ht="30" customHeight="1">
      <c r="A41" s="31" t="n">
        <v>1</v>
      </c>
      <c r="B41" s="16" t="inlineStr">
        <is>
          <t>Every path that sends work back is listed</t>
        </is>
      </c>
      <c r="F41" s="32">
        <f>IF(COUNTIF(B14:B20,"Yes")=0,"Not answered",IF(COUNTIFS(B14:B20,"Yes",D14:D20,"")&gt;0,"Fail","Pass"))</f>
        <v/>
      </c>
      <c r="G41" s="13">
        <f>IF(COUNTIF(B14:B20,"Yes")=0,"No path is marked as present yet.",IF(COUNTIFS(B14:B20,"Yes",D14:D20,"")&gt;0,"A present path has no average rounds. A path you cannot count is a path you cannot cost.","Every present path says how often it sends work back."))</f>
        <v/>
      </c>
    </row>
    <row r="42" ht="30" customHeight="1">
      <c r="A42" s="31" t="n">
        <v>2</v>
      </c>
      <c r="B42" s="16" t="inlineStr">
        <is>
          <t>Each round is costed as repeated, review and growth</t>
        </is>
      </c>
      <c r="F42" s="32">
        <f>IF(COUNTIF(B14:B20,"Yes")=0,"Not answered",IF(COUNTIFS(B14:B20,"Yes",E14:E20,"")+COUNTIFS(B14:B20,"Yes",F14:F20,"")+COUNTIFS(B14:B20,"Yes",G14:G20,"")&gt;0,"Fail",IF(COUNTIFS(B15:B18,"Yes",G15:G18,0)&gt;0,"Attention","Pass")))</f>
        <v/>
      </c>
      <c r="G42" s="13">
        <f>IF(COUNTIF(B14:B20,"Yes")=0,"No path is marked as present yet.",IF(COUNTIFS(B14:B20,"Yes",E14:E20,"")+COUNTIFS(B14:B20,"Yes",F14:F20,"")+COUNTIFS(B14:B20,"Yes",G14:G20,"")&gt;0,"A present path is missing repeated, review or growth. Zero is a valid answer; blank is not.",IF(COUNTIFS(B15:B18,"Yes",G15:G18,0)&gt;0,"A judge, validation, tool or human path has no context growth. Redos usually carry more context. Check this.","Every present path has all three parts of a round.")))</f>
        <v/>
      </c>
    </row>
    <row r="43" ht="30" customHeight="1">
      <c r="A43" s="31" t="n">
        <v>3</v>
      </c>
      <c r="B43" s="16" t="inlineStr">
        <is>
          <t>Rounds are capped, and something happens after the last one</t>
        </is>
      </c>
      <c r="F43" s="32">
        <f>IF(COUNTIF(B14:B20,"Yes")=0,"Not answered",IF(OR(SUM(R14:R20)&gt;0,COUNTIFS(B14:B20,"Yes",J14:J20,"")+COUNTIFS(B14:B20,"Yes",J14:J20,"Not decided")&gt;0),"Fail",IF(COUNTIFS(B14:B20,"Yes",K14:K20,"")&gt;0,"Attention","Pass")))</f>
        <v/>
      </c>
      <c r="G43" s="13">
        <f>IF(COUNTIF(B14:B20,"Yes")=0,"No path is marked as present yet.",IF(SUM(R14:R20)&gt;0,"A present path has no cap. Without one the worst case has no ceiling.",IF(COUNTIFS(B14:B20,"Yes",J14:J20,"")+COUNTIFS(B14:B20,"Yes",J14:J20,"Not decided")&gt;0,"A present path has no decided outcome after the last round.",IF(COUNTIFS(B14:B20,"Yes",K14:K20,"")&gt;0,"A path is capped with an outcome, but nobody owns it.","Every present path is capped, with a decided outcome and a named owner."))))</f>
        <v/>
      </c>
    </row>
    <row r="44" ht="30" customHeight="1">
      <c r="A44" s="31" t="n">
        <v>4</v>
      </c>
      <c r="B44" s="16" t="inlineStr">
        <is>
          <t>Two numbers: unit economics and availability</t>
        </is>
      </c>
      <c r="F44" s="32">
        <f>IF((SUM(R14:R20)&gt;0),"Fail",IF(OR(C31="",C35=""),"Not answered",IF(C31&gt;1,"Fail",IF(AND(C31&lt;=0.8,C35&lt;=1),"Pass","Attention"))))</f>
        <v/>
      </c>
      <c r="G44" s="13">
        <f>IF((SUM(R14:R20)&gt;0),"The worst case is unbounded, so there is no availability number to check.",IF(OR(C31="",C35=""),"Peak tasks per minute and the quota are needed for this one.",IF(C31&gt;1,"Your normal load already exceeds the quota.",IF(AND(C31&lt;=0.8,C35&lt;=1),"Normal load has headroom, and the worst case still fits.",IF(C31&lt;=0.8,"Normal load has headroom, but the worst case goes over the quota.","Normal load is above 80% of the quota. Any spike tips it over.")))))</f>
        <v/>
      </c>
    </row>
    <row r="45" ht="30" customHeight="1">
      <c r="A45" s="31" t="n">
        <v>5</v>
      </c>
      <c r="B45" s="16" t="inlineStr">
        <is>
          <t>The budget belongs to the task, across all its rounds</t>
        </is>
      </c>
      <c r="F45" s="32">
        <f>IF(C24="","Not answered",IF(C24&lt;&gt;"Per task, across all rounds","Fail",IF(OR(C23="",C28=""),"Not answered",IF(C23&lt;C28,"Fail",IF(OR((SUM(R14:R20)&gt;0),AND(C32&lt;&gt;"",C32&lt;&gt;"Unbounded",C32&gt;C23)),"Pass",IF(C32="","Not answered","Attention"))))))</f>
        <v/>
      </c>
      <c r="G45" s="13">
        <f>IF(C24="","Say how the budget is enforced.",IF(C24="Per call only","A per-call budget never sees the rounds add up. The task is what costs money.",IF(C24="Not enforced","Nothing stops a task at a token total.",IF(OR(C23="",C28=""),"Enter a per-task budget to check it against the two totals.",IF(C23&lt;C28,"The budget will cut normal tasks short.",IF(OR((SUM(R14:R20)&gt;0),AND(C32&lt;&gt;"",C32&lt;&gt;"Unbounded",C32&gt;C23)),"The budget stops the worst case. Make sure check 3's outcome runs when it does.",IF(C32="","The worst case is not worked out yet.","The budget never binds; your caps are the only stop.")))))))</f>
        <v/>
      </c>
    </row>
    <row r="47" ht="26" customHeight="1">
      <c r="A47" s="1" t="inlineStr">
        <is>
          <t>Your next step</t>
        </is>
      </c>
      <c r="C47" s="11">
        <f>IF(COUNTIF(F41:F45,"Fail")&gt;0,"Check "&amp;INDEX(A41:A45,MATCH("Fail",F41:F45,0))&amp;" — "&amp;INDEX(G41:G45,MATCH("Fail",F41:F45,0)),IF(COUNTIF(F41:F45,"Attention")&gt;0,"Check "&amp;INDEX(A41:A45,MATCH("Attention",F41:F45,0))&amp;" — "&amp;INDEX(G41:G45,MATCH("Attention",F41:F45,0)),"Nothing outstanding."))</f>
        <v/>
      </c>
    </row>
  </sheetData>
  <sheetProtection selectLockedCells="0" selectUnlockedCells="0" sheet="1" objects="0" insertRows="1" insertHyperlinks="1" autoFilter="1" scenarios="0" formatColumns="1" deleteColumns="1" insertColumns="1" pivotTables="1" deleteRows="1" formatCells="0" formatRows="1" sort="1"/>
  <mergeCells count="52">
    <mergeCell ref="C47:K47"/>
    <mergeCell ref="C34:D34"/>
    <mergeCell ref="B40:E40"/>
    <mergeCell ref="A24:B24"/>
    <mergeCell ref="A30:B30"/>
    <mergeCell ref="E36:K36"/>
    <mergeCell ref="C24:D24"/>
    <mergeCell ref="C30:D30"/>
    <mergeCell ref="G43:K43"/>
    <mergeCell ref="C33:D33"/>
    <mergeCell ref="G42:K42"/>
    <mergeCell ref="A36:B36"/>
    <mergeCell ref="E32:K32"/>
    <mergeCell ref="E25:K25"/>
    <mergeCell ref="A6:B6"/>
    <mergeCell ref="C35:D35"/>
    <mergeCell ref="B45:E45"/>
    <mergeCell ref="B41:E41"/>
    <mergeCell ref="C29:D29"/>
    <mergeCell ref="A7:B7"/>
    <mergeCell ref="A25:B25"/>
    <mergeCell ref="D6:K6"/>
    <mergeCell ref="A37:B37"/>
    <mergeCell ref="C31:D31"/>
    <mergeCell ref="A12:K12"/>
    <mergeCell ref="D7:K7"/>
    <mergeCell ref="B43:E43"/>
    <mergeCell ref="A33:B33"/>
    <mergeCell ref="A47:B47"/>
    <mergeCell ref="A5:B5"/>
    <mergeCell ref="A2:K2"/>
    <mergeCell ref="A32:B32"/>
    <mergeCell ref="C36:D36"/>
    <mergeCell ref="A23:B23"/>
    <mergeCell ref="G45:K45"/>
    <mergeCell ref="A8:B8"/>
    <mergeCell ref="B42:E42"/>
    <mergeCell ref="A35:B35"/>
    <mergeCell ref="E28:K28"/>
    <mergeCell ref="C32:D32"/>
    <mergeCell ref="A29:B29"/>
    <mergeCell ref="D8:K8"/>
    <mergeCell ref="B44:E44"/>
    <mergeCell ref="A28:B28"/>
    <mergeCell ref="C37:D37"/>
    <mergeCell ref="C28:D28"/>
    <mergeCell ref="G41:K41"/>
    <mergeCell ref="G44:K44"/>
    <mergeCell ref="D5:K5"/>
    <mergeCell ref="A31:B31"/>
    <mergeCell ref="G40:K40"/>
    <mergeCell ref="A34:B34"/>
  </mergeCells>
  <conditionalFormatting sqref="A14:K20">
    <cfRule type="expression" priority="1" dxfId="0">
      <formula>$B14&lt;&gt;"Yes"</formula>
    </cfRule>
  </conditionalFormatting>
  <conditionalFormatting sqref="F41:F45">
    <cfRule type="expression" priority="2" dxfId="1">
      <formula>$F41="Pass"</formula>
    </cfRule>
    <cfRule type="expression" priority="3" dxfId="2">
      <formula>$F41="Attention"</formula>
    </cfRule>
    <cfRule type="expression" priority="4" dxfId="3">
      <formula>$F41="Fail"</formula>
    </cfRule>
  </conditionalFormatting>
  <dataValidations count="3">
    <dataValidation sqref="B14:C20" showDropDown="0" showInputMessage="0" showErrorMessage="0" allowBlank="1" type="list">
      <formula1>$T$1:$T$2</formula1>
    </dataValidation>
    <dataValidation sqref="J14:J20" showDropDown="0" showInputMessage="0" showErrorMessage="0" allowBlank="1" type="list">
      <formula1>$T$4:$T$8</formula1>
    </dataValidation>
    <dataValidation sqref="C24" showDropDown="0" showInputMessage="0" showErrorMessage="0" allowBlank="1" type="list">
      <formula1>$T$10:$T$12</formula1>
    </dataValidation>
  </dataValidations>
  <pageMargins left="0.4" right="0.4" top="0.4" bottom="0.4"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C46"/>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92" customWidth="1" min="3" max="3"/>
  </cols>
  <sheetData>
    <row r="1" ht="26" customHeight="1">
      <c r="A1" s="9" t="inlineStr">
        <is>
          <t>How to find these numbers</t>
        </is>
      </c>
    </row>
    <row r="2" ht="30" customHeight="1">
      <c r="B2" s="3" t="inlineStr">
        <is>
          <t>Where each figure lives in your own system. Where a product or a setting is named, check your provider's docs; names change.</t>
        </is>
      </c>
    </row>
    <row r="4" ht="28" customHeight="1">
      <c r="B4" s="33" t="inlineStr">
        <is>
          <t>Tokens for one clean run</t>
        </is>
      </c>
      <c r="C4" s="14" t="inlineStr">
        <is>
          <t>•  Open your tracing tool, for example Langfuse, LangSmith or Arize Phoenix, and filter to tasks that finished with nothing sent back.</t>
        </is>
      </c>
    </row>
    <row r="5" ht="16" customHeight="1">
      <c r="C5" s="14" t="inlineStr">
        <is>
          <t>•  Take 20 to 50 of them and use the median of total input plus output tokens.</t>
        </is>
      </c>
    </row>
    <row r="6" ht="28" customHeight="1">
      <c r="C6" s="14" t="inlineStr">
        <is>
          <t>•  No tracing? Every model API response carries a usage field with input and output token counts. Log it with a task id for a day, then add up the calls per task.</t>
        </is>
      </c>
    </row>
    <row r="8" ht="28" customHeight="1">
      <c r="B8" s="33" t="inlineStr">
        <is>
          <t>Always-on checks</t>
        </is>
      </c>
      <c r="C8" s="14" t="inlineStr">
        <is>
          <t>•  In the same traces, find the judge, validator or guardrail calls that ran on the first attempt, and take their median tokens.</t>
        </is>
      </c>
    </row>
    <row r="9" ht="28" customHeight="1">
      <c r="C9" s="14" t="inlineStr">
        <is>
          <t>•  If the check is code rather than a model, a JSON schema check for instance, its token cost is 0.</t>
        </is>
      </c>
    </row>
    <row r="11" ht="16" customHeight="1">
      <c r="B11" s="33" t="inlineStr">
        <is>
          <t>Average rounds per task, per path</t>
        </is>
      </c>
      <c r="C11" s="14" t="inlineStr">
        <is>
          <t>•  Take a normal week and count send-backs divided by tasks.</t>
        </is>
      </c>
    </row>
    <row r="12" ht="16" customHeight="1">
      <c r="C12" s="14" t="inlineStr">
        <is>
          <t>•  Judge: failed verdicts in your judge or eval logs.</t>
        </is>
      </c>
    </row>
    <row r="13" ht="16" customHeight="1">
      <c r="C13" s="14" t="inlineStr">
        <is>
          <t>•  Validation: parse errors, schema failures and guardrail blocks that triggered a redo.</t>
        </is>
      </c>
    </row>
    <row r="14" ht="16" customHeight="1">
      <c r="C14" s="14" t="inlineStr">
        <is>
          <t>•  Tool error: tool calls that returned an error and made the agent re-plan or retry.</t>
        </is>
      </c>
    </row>
    <row r="15" ht="16" customHeight="1">
      <c r="C15" s="14" t="inlineStr">
        <is>
          <t>•  Human: items sent back divided by items reviewed, from your review queue.</t>
        </is>
      </c>
    </row>
    <row r="16" ht="42" customHeight="1">
      <c r="C16" s="14" t="inlineStr">
        <is>
          <t>•  Transport refusal: 429, 503 and timeout counts from your client or gateway logs. Use a normal hour, which is usually close to 0. The peak matters for the worst case, not for the typical cost.</t>
        </is>
      </c>
    </row>
    <row r="18" ht="28" customHeight="1">
      <c r="B18" s="33" t="inlineStr">
        <is>
          <t>Work repeated</t>
        </is>
      </c>
      <c r="C18" s="14" t="inlineStr">
        <is>
          <t>•  Find out what your code does after a send-back: does it restart the task, redo the step, or retry the call only? The answer is in your orchestrator or retry code.</t>
        </is>
      </c>
    </row>
    <row r="19" ht="16" customHeight="1">
      <c r="C19" s="14" t="inlineStr">
        <is>
          <t>•  Then add up, from traces, the tokens of the steps that run again.</t>
        </is>
      </c>
    </row>
    <row r="20" ht="28" customHeight="1">
      <c r="C20" s="14" t="inlineStr">
        <is>
          <t>•  Hidden repeat — model SDK retries. Many SDKs retry some errors automatically, often twice by default. Those stack on top of any retries your own code makes.</t>
        </is>
      </c>
    </row>
    <row r="21" ht="28" customHeight="1">
      <c r="C21" s="14" t="inlineStr">
        <is>
          <t>•  Hidden repeat — graph re-entry. A graph framework looping back to an earlier node repeats every node in between.</t>
        </is>
      </c>
    </row>
    <row r="23" ht="16" customHeight="1">
      <c r="B23" s="33" t="inlineStr">
        <is>
          <t>Review call</t>
        </is>
      </c>
      <c r="C23" s="14" t="inlineStr">
        <is>
          <t>•  The judge's or checker's token count on a redo, from the same trace.</t>
        </is>
      </c>
    </row>
    <row r="24" ht="16" customHeight="1">
      <c r="C24" s="14" t="inlineStr">
        <is>
          <t>•  A judge usually reads the whole output plus a rubric, so its input is large.</t>
        </is>
      </c>
    </row>
    <row r="26" ht="42" customHeight="1">
      <c r="B26" s="33" t="inlineStr">
        <is>
          <t>Context growth</t>
        </is>
      </c>
      <c r="C26" s="14" t="inlineStr">
        <is>
          <t>•  In one trace with a send-back, compare the input tokens of the first attempt with those of the redo. The difference is the growth: the note, the error or the rejected draft carried forward.</t>
        </is>
      </c>
    </row>
    <row r="27" ht="28" customHeight="1">
      <c r="C27" s="14" t="inlineStr">
        <is>
          <t>•  If each round keeps all earlier notes, growth rises every round. Enter the average growth, or the last round’s growth for a cautious number.</t>
        </is>
      </c>
    </row>
    <row r="29" ht="28" customHeight="1">
      <c r="B29" s="33" t="inlineStr">
        <is>
          <t>Max rounds per task</t>
        </is>
      </c>
      <c r="C29" s="14" t="inlineStr">
        <is>
          <t>•  Your retry settings, the loop limit in your orchestrator (graph frameworks usually have a recursion or step limit), and your SDK’s retry setting.</t>
        </is>
      </c>
    </row>
    <row r="30" ht="28" customHeight="1">
      <c r="C30" s="14" t="inlineStr">
        <is>
          <t>•  If a path has no explicit limit in your code, leave the cap blank. The tool will show the worst case as unbounded, and that is the finding.</t>
        </is>
      </c>
    </row>
    <row r="32" ht="28" customHeight="1">
      <c r="B32" s="33" t="inlineStr">
        <is>
          <t>Peak tasks per minute</t>
        </is>
      </c>
      <c r="C32" s="14" t="inlineStr">
        <is>
          <t>•  The busiest minute in the last 30 days from your app metrics. Use the 99th-percentile minute, not the average.</t>
        </is>
      </c>
    </row>
    <row r="33" ht="16" customHeight="1">
      <c r="C33" s="14" t="inlineStr">
        <is>
          <t>•  Pre-launch: use your launch estimate and mark it as an estimate.</t>
        </is>
      </c>
    </row>
    <row r="35" ht="16" customHeight="1">
      <c r="B35" s="33" t="inlineStr">
        <is>
          <t>Tokens-per-minute quota</t>
        </is>
      </c>
      <c r="C35" s="14" t="inlineStr">
        <is>
          <t>•  The limits page in your model provider’s console, for your account tier and model.</t>
        </is>
      </c>
    </row>
    <row r="36" ht="28" customHeight="1">
      <c r="C36" s="14" t="inlineStr">
        <is>
          <t>•  Most providers also return rate-limit headers on each response showing the limit and what remains.</t>
        </is>
      </c>
    </row>
    <row r="37" ht="16" customHeight="1">
      <c r="C37" s="14" t="inlineStr">
        <is>
          <t>•  Note who else draws on the same key or organisation. The quota is usually shared.</t>
        </is>
      </c>
    </row>
    <row r="39" ht="16" customHeight="1">
      <c r="B39" s="33" t="inlineStr">
        <is>
          <t>Per-task budget</t>
        </is>
      </c>
      <c r="C39" s="14" t="inlineStr">
        <is>
          <t>•  Your own code or gateway config.</t>
        </is>
      </c>
    </row>
    <row r="40" ht="16" customHeight="1">
      <c r="C40" s="14" t="inlineStr">
        <is>
          <t>•  If nothing stops a task at a token total, the answer is "Not enforced".</t>
        </is>
      </c>
    </row>
    <row r="42" ht="16" customHeight="1">
      <c r="B42" s="33" t="inlineStr">
        <is>
          <t>Price per million tokens</t>
        </is>
      </c>
      <c r="C42" s="14" t="inlineStr">
        <is>
          <t>•  Your provider’s pricing page. Input and output are priced differently.</t>
        </is>
      </c>
    </row>
    <row r="43" ht="16" customHeight="1">
      <c r="C43" s="14" t="inlineStr">
        <is>
          <t>•  Blend them by your own ratio of input to output tokens, taken from traces.</t>
        </is>
      </c>
    </row>
    <row r="45" ht="16" customHeight="1">
      <c r="B45" s="33" t="inlineStr">
        <is>
          <t>No data yet?</t>
        </is>
      </c>
      <c r="C45" s="14" t="inlineStr">
        <is>
          <t>•  Use estimates and label them as estimates.</t>
        </is>
      </c>
    </row>
    <row r="46" ht="28" customHeight="1">
      <c r="C46" s="14" t="inlineStr">
        <is>
          <t>•  The check still shows which paths and which caps are missing. That is often the more useful finding.</t>
        </is>
      </c>
    </row>
  </sheetData>
  <sheetProtection selectLockedCells="0" selectUnlockedCells="0" sheet="1" objects="0" insertRows="1" insertHyperlinks="1" autoFilter="1" scenarios="0" formatColumns="1" deleteColumns="1" insertColumns="1" pivotTables="1" deleteRows="1" formatCells="0" formatRows="1" sort="1"/>
  <mergeCells count="33">
    <mergeCell ref="C23"/>
    <mergeCell ref="C39"/>
    <mergeCell ref="C8"/>
    <mergeCell ref="C32"/>
    <mergeCell ref="C19"/>
    <mergeCell ref="C13"/>
    <mergeCell ref="C37"/>
    <mergeCell ref="B2:C2"/>
    <mergeCell ref="C18"/>
    <mergeCell ref="C30"/>
    <mergeCell ref="C15"/>
    <mergeCell ref="C33"/>
    <mergeCell ref="C6"/>
    <mergeCell ref="C24"/>
    <mergeCell ref="C42"/>
    <mergeCell ref="C14"/>
    <mergeCell ref="C5"/>
    <mergeCell ref="C45"/>
    <mergeCell ref="C35"/>
    <mergeCell ref="C4"/>
    <mergeCell ref="C20"/>
    <mergeCell ref="C26"/>
    <mergeCell ref="C29"/>
    <mergeCell ref="C16"/>
    <mergeCell ref="C9"/>
    <mergeCell ref="C40"/>
    <mergeCell ref="C43"/>
    <mergeCell ref="C12"/>
    <mergeCell ref="C21"/>
    <mergeCell ref="C11"/>
    <mergeCell ref="C46"/>
    <mergeCell ref="C36"/>
    <mergeCell ref="C27"/>
  </mergeCells>
  <pageMargins left="0.4" right="0.4" top="0.4" bottom="0.4"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T47"/>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10" customWidth="1" min="3" max="3"/>
    <col width="13" customWidth="1" min="4" max="4"/>
    <col width="14" customWidth="1" min="5" max="5"/>
    <col width="13" customWidth="1" min="6" max="6"/>
    <col width="15" customWidth="1" min="7" max="7"/>
    <col width="13" customWidth="1" min="8" max="8"/>
    <col width="12" customWidth="1" min="9" max="9"/>
    <col width="24" customWidth="1" min="10" max="10"/>
    <col width="18"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20" max="20"/>
  </cols>
  <sheetData>
    <row r="1" ht="26" customHeight="1">
      <c r="A1" s="9" t="inlineStr">
        <is>
          <t>Example</t>
        </is>
      </c>
      <c r="T1" t="inlineStr">
        <is>
          <t>Yes</t>
        </is>
      </c>
    </row>
    <row r="2" ht="18" customHeight="1">
      <c r="A2" s="3" t="inlineStr">
        <is>
          <t>Illustrative example: a scheduling agent. Not a real system or real figures.</t>
        </is>
      </c>
      <c r="T2" t="inlineStr">
        <is>
          <t>No</t>
        </is>
      </c>
    </row>
    <row r="4">
      <c r="A4" s="10" t="inlineStr">
        <is>
          <t>A · The workflow</t>
        </is>
      </c>
      <c r="T4" t="inlineStr">
        <is>
          <t>Fails and tells the user</t>
        </is>
      </c>
    </row>
    <row r="5" ht="20" customHeight="1">
      <c r="A5" s="11" t="inlineStr">
        <is>
          <t>Tokens for one clean run</t>
        </is>
      </c>
      <c r="C5" s="12" t="n">
        <v>43300</v>
      </c>
      <c r="D5" s="13" t="inlineStr">
        <is>
          <t>Input and output, for a task nothing sent back.</t>
        </is>
      </c>
      <c r="T5" t="inlineStr">
        <is>
          <t>Hands to a human</t>
        </is>
      </c>
    </row>
    <row r="6" ht="20" customHeight="1">
      <c r="A6" s="11" t="inlineStr">
        <is>
          <t>Always-on checks</t>
        </is>
      </c>
      <c r="C6" s="12" t="n">
        <v>11500</v>
      </c>
      <c r="D6" s="13" t="inlineStr">
        <is>
          <t>Checks that run on every task even when they pass. 0 if none.</t>
        </is>
      </c>
      <c r="T6" t="inlineStr">
        <is>
          <t>Ships with a warning</t>
        </is>
      </c>
    </row>
    <row r="7" ht="20" customHeight="1">
      <c r="A7" s="11" t="inlineStr">
        <is>
          <t>Peak tasks per minute</t>
        </is>
      </c>
      <c r="C7" s="12" t="n">
        <v>200</v>
      </c>
      <c r="D7" s="13" t="inlineStr">
        <is>
          <t>The busiest minute you expect.</t>
        </is>
      </c>
      <c r="T7" t="inlineStr">
        <is>
          <t>Queues for later</t>
        </is>
      </c>
    </row>
    <row r="8" ht="20" customHeight="1">
      <c r="A8" s="11" t="inlineStr">
        <is>
          <t>Tokens-per-minute quota</t>
        </is>
      </c>
      <c r="C8" s="12" t="n">
        <v>10000000</v>
      </c>
      <c r="D8" s="13" t="inlineStr">
        <is>
          <t>The shared limit this workflow draws from.</t>
        </is>
      </c>
      <c r="T8" t="inlineStr">
        <is>
          <t>Not decided</t>
        </is>
      </c>
    </row>
    <row r="10">
      <c r="T10" t="inlineStr">
        <is>
          <t>Per task, across all rounds</t>
        </is>
      </c>
    </row>
    <row r="11">
      <c r="A11" s="10" t="inlineStr">
        <is>
          <t>B · Paths that send work back</t>
        </is>
      </c>
      <c r="T11" t="inlineStr">
        <is>
          <t>Per call only</t>
        </is>
      </c>
    </row>
    <row r="12" ht="26" customHeight="1">
      <c r="A12" s="14" t="inlineStr">
        <is>
          <t>A round costs the same shape of thing whatever sent it back: the steps that run again, the check that re-reads the new attempt, and the extra context the redo carries. Zero is a real answer. Blank is not.</t>
        </is>
      </c>
      <c r="T12" t="inlineStr">
        <is>
          <t>Not enforced</t>
        </is>
      </c>
    </row>
    <row r="13" ht="30" customHeight="1">
      <c r="A13" s="15" t="inlineStr">
        <is>
          <t>Path</t>
        </is>
      </c>
      <c r="B13" s="15" t="inlineStr">
        <is>
          <t>Present?</t>
        </is>
      </c>
      <c r="C13" s="15" t="inlineStr">
        <is>
          <t>Billed?</t>
        </is>
      </c>
      <c r="D13" s="15" t="inlineStr">
        <is>
          <t>Avg rounds</t>
        </is>
      </c>
      <c r="E13" s="15" t="inlineStr">
        <is>
          <t>Work repeated</t>
        </is>
      </c>
      <c r="F13" s="15" t="inlineStr">
        <is>
          <t>Review call</t>
        </is>
      </c>
      <c r="G13" s="15" t="inlineStr">
        <is>
          <t>Context growth</t>
        </is>
      </c>
      <c r="H13" s="15" t="inlineStr">
        <is>
          <t>Round cost</t>
        </is>
      </c>
      <c r="I13" s="15" t="inlineStr">
        <is>
          <t>Max rounds</t>
        </is>
      </c>
      <c r="J13" s="15" t="inlineStr">
        <is>
          <t>After the last round…</t>
        </is>
      </c>
      <c r="K13" s="15" t="inlineStr">
        <is>
          <t>Owner</t>
        </is>
      </c>
    </row>
    <row r="14" ht="22" customHeight="1">
      <c r="A14" s="16" t="inlineStr">
        <is>
          <t>Transport refusal</t>
        </is>
      </c>
      <c r="B14" s="17" t="inlineStr">
        <is>
          <t>Yes</t>
        </is>
      </c>
      <c r="C14" s="17" t="inlineStr">
        <is>
          <t>No</t>
        </is>
      </c>
      <c r="D14" s="18" t="n">
        <v>0</v>
      </c>
      <c r="E14" s="12" t="n">
        <v>16700</v>
      </c>
      <c r="F14" s="12" t="n">
        <v>0</v>
      </c>
      <c r="G14" s="12" t="n">
        <v>0</v>
      </c>
      <c r="H14" s="19">
        <f>IF(B14&lt;&gt;"Yes","",IF(OR(E14="",F14="",G14=""),"",E14+F14+G14))</f>
        <v/>
      </c>
      <c r="I14" s="20" t="n">
        <v>3</v>
      </c>
      <c r="J14" s="8" t="inlineStr">
        <is>
          <t>Fails and tells the user</t>
        </is>
      </c>
      <c r="K14" s="8" t="inlineStr">
        <is>
          <t>Platform team</t>
        </is>
      </c>
      <c r="N14" s="21">
        <f>IF(B14="Yes",IF(OR(D14="",H14=""),1,0),0)</f>
        <v/>
      </c>
      <c r="O14" s="21">
        <f>IF(AND(B14="Yes",N14=0),D14*H14,0)</f>
        <v/>
      </c>
      <c r="P14" s="21">
        <f>IF(B14="Yes",IF(OR(I14="",H14=""),1,0),0)</f>
        <v/>
      </c>
      <c r="Q14" s="21">
        <f>IF(AND(B14="Yes",P14=0),I14*H14,0)</f>
        <v/>
      </c>
      <c r="R14" s="21">
        <f>IF(AND(B14="Yes",I14=""),1,0)</f>
        <v/>
      </c>
    </row>
    <row r="15" ht="22" customHeight="1">
      <c r="A15" s="16" t="inlineStr">
        <is>
          <t>Judge / critic rejection</t>
        </is>
      </c>
      <c r="B15" s="17" t="inlineStr">
        <is>
          <t>Yes</t>
        </is>
      </c>
      <c r="C15" s="17" t="inlineStr">
        <is>
          <t>Yes</t>
        </is>
      </c>
      <c r="D15" s="18" t="n">
        <v>2</v>
      </c>
      <c r="E15" s="12" t="n">
        <v>8900</v>
      </c>
      <c r="F15" s="12" t="n">
        <v>11500</v>
      </c>
      <c r="G15" s="12" t="n">
        <v>1500</v>
      </c>
      <c r="H15" s="19">
        <f>IF(B15&lt;&gt;"Yes","",IF(OR(E15="",F15="",G15=""),"",E15+F15+G15))</f>
        <v/>
      </c>
      <c r="I15" s="20" t="n">
        <v>3</v>
      </c>
      <c r="J15" s="8" t="inlineStr">
        <is>
          <t>Hands to a human</t>
        </is>
      </c>
      <c r="K15" s="8" t="inlineStr">
        <is>
          <t>Platform team</t>
        </is>
      </c>
      <c r="N15" s="21">
        <f>IF(B15="Yes",IF(OR(D15="",H15=""),1,0),0)</f>
        <v/>
      </c>
      <c r="O15" s="21">
        <f>IF(AND(B15="Yes",N15=0),D15*H15,0)</f>
        <v/>
      </c>
      <c r="P15" s="21">
        <f>IF(B15="Yes",IF(OR(I15="",H15=""),1,0),0)</f>
        <v/>
      </c>
      <c r="Q15" s="21">
        <f>IF(AND(B15="Yes",P15=0),I15*H15,0)</f>
        <v/>
      </c>
      <c r="R15" s="21">
        <f>IF(AND(B15="Yes",I15=""),1,0)</f>
        <v/>
      </c>
    </row>
    <row r="16" ht="22" customHeight="1">
      <c r="A16" s="16" t="inlineStr">
        <is>
          <t>Validation failure</t>
        </is>
      </c>
      <c r="B16" s="17" t="inlineStr">
        <is>
          <t>No</t>
        </is>
      </c>
      <c r="C16" s="17" t="inlineStr">
        <is>
          <t>Yes</t>
        </is>
      </c>
      <c r="D16" s="18" t="n"/>
      <c r="E16" s="12" t="n"/>
      <c r="F16" s="12" t="n"/>
      <c r="G16" s="12" t="n"/>
      <c r="H16" s="19">
        <f>IF(B16&lt;&gt;"Yes","",IF(OR(E16="",F16="",G16=""),"",E16+F16+G16))</f>
        <v/>
      </c>
      <c r="I16" s="20" t="n"/>
      <c r="J16" s="8" t="n"/>
      <c r="K16" s="8" t="n"/>
      <c r="N16" s="21">
        <f>IF(B16="Yes",IF(OR(D16="",H16=""),1,0),0)</f>
        <v/>
      </c>
      <c r="O16" s="21">
        <f>IF(AND(B16="Yes",N16=0),D16*H16,0)</f>
        <v/>
      </c>
      <c r="P16" s="21">
        <f>IF(B16="Yes",IF(OR(I16="",H16=""),1,0),0)</f>
        <v/>
      </c>
      <c r="Q16" s="21">
        <f>IF(AND(B16="Yes",P16=0),I16*H16,0)</f>
        <v/>
      </c>
      <c r="R16" s="21">
        <f>IF(AND(B16="Yes",I16=""),1,0)</f>
        <v/>
      </c>
    </row>
    <row r="17" ht="22" customHeight="1">
      <c r="A17" s="16" t="inlineStr">
        <is>
          <t>Tool error</t>
        </is>
      </c>
      <c r="B17" s="17" t="inlineStr">
        <is>
          <t>No</t>
        </is>
      </c>
      <c r="C17" s="17" t="inlineStr">
        <is>
          <t>Yes</t>
        </is>
      </c>
      <c r="D17" s="18" t="n"/>
      <c r="E17" s="12" t="n"/>
      <c r="F17" s="12" t="n"/>
      <c r="G17" s="12" t="n"/>
      <c r="H17" s="19">
        <f>IF(B17&lt;&gt;"Yes","",IF(OR(E17="",F17="",G17=""),"",E17+F17+G17))</f>
        <v/>
      </c>
      <c r="I17" s="20" t="n"/>
      <c r="J17" s="8" t="n"/>
      <c r="K17" s="8" t="n"/>
      <c r="N17" s="21">
        <f>IF(B17="Yes",IF(OR(D17="",H17=""),1,0),0)</f>
        <v/>
      </c>
      <c r="O17" s="21">
        <f>IF(AND(B17="Yes",N17=0),D17*H17,0)</f>
        <v/>
      </c>
      <c r="P17" s="21">
        <f>IF(B17="Yes",IF(OR(I17="",H17=""),1,0),0)</f>
        <v/>
      </c>
      <c r="Q17" s="21">
        <f>IF(AND(B17="Yes",P17=0),I17*H17,0)</f>
        <v/>
      </c>
      <c r="R17" s="21">
        <f>IF(AND(B17="Yes",I17=""),1,0)</f>
        <v/>
      </c>
    </row>
    <row r="18" ht="22" customHeight="1">
      <c r="A18" s="16" t="inlineStr">
        <is>
          <t>Human rejection</t>
        </is>
      </c>
      <c r="B18" s="17" t="inlineStr">
        <is>
          <t>No</t>
        </is>
      </c>
      <c r="C18" s="17" t="inlineStr">
        <is>
          <t>Yes</t>
        </is>
      </c>
      <c r="D18" s="18" t="n"/>
      <c r="E18" s="12" t="n"/>
      <c r="F18" s="12" t="n"/>
      <c r="G18" s="12" t="n"/>
      <c r="H18" s="19">
        <f>IF(B18&lt;&gt;"Yes","",IF(OR(E18="",F18="",G18=""),"",E18+F18+G18))</f>
        <v/>
      </c>
      <c r="I18" s="20" t="n"/>
      <c r="J18" s="8" t="n"/>
      <c r="K18" s="8" t="n"/>
      <c r="N18" s="21">
        <f>IF(B18="Yes",IF(OR(D18="",H18=""),1,0),0)</f>
        <v/>
      </c>
      <c r="O18" s="21">
        <f>IF(AND(B18="Yes",N18=0),D18*H18,0)</f>
        <v/>
      </c>
      <c r="P18" s="21">
        <f>IF(B18="Yes",IF(OR(I18="",H18=""),1,0),0)</f>
        <v/>
      </c>
      <c r="Q18" s="21">
        <f>IF(AND(B18="Yes",P18=0),I18*H18,0)</f>
        <v/>
      </c>
      <c r="R18" s="21">
        <f>IF(AND(B18="Yes",I18=""),1,0)</f>
        <v/>
      </c>
    </row>
    <row r="19" ht="22" customHeight="1">
      <c r="A19" s="22" t="inlineStr">
        <is>
          <t>Custom path 1</t>
        </is>
      </c>
      <c r="B19" s="17" t="inlineStr">
        <is>
          <t>No</t>
        </is>
      </c>
      <c r="C19" s="17" t="inlineStr">
        <is>
          <t>Yes</t>
        </is>
      </c>
      <c r="D19" s="18" t="n"/>
      <c r="E19" s="12" t="n"/>
      <c r="F19" s="12" t="n"/>
      <c r="G19" s="12" t="n"/>
      <c r="H19" s="19">
        <f>IF(B19&lt;&gt;"Yes","",IF(OR(E19="",F19="",G19=""),"",E19+F19+G19))</f>
        <v/>
      </c>
      <c r="I19" s="20" t="n"/>
      <c r="J19" s="8" t="n"/>
      <c r="K19" s="8" t="n"/>
      <c r="N19" s="21">
        <f>IF(B19="Yes",IF(OR(D19="",H19=""),1,0),0)</f>
        <v/>
      </c>
      <c r="O19" s="21">
        <f>IF(AND(B19="Yes",N19=0),D19*H19,0)</f>
        <v/>
      </c>
      <c r="P19" s="21">
        <f>IF(B19="Yes",IF(OR(I19="",H19=""),1,0),0)</f>
        <v/>
      </c>
      <c r="Q19" s="21">
        <f>IF(AND(B19="Yes",P19=0),I19*H19,0)</f>
        <v/>
      </c>
      <c r="R19" s="21">
        <f>IF(AND(B19="Yes",I19=""),1,0)</f>
        <v/>
      </c>
    </row>
    <row r="20" ht="22" customHeight="1">
      <c r="A20" s="22" t="inlineStr">
        <is>
          <t>Custom path 2</t>
        </is>
      </c>
      <c r="B20" s="17" t="inlineStr">
        <is>
          <t>No</t>
        </is>
      </c>
      <c r="C20" s="17" t="inlineStr">
        <is>
          <t>Yes</t>
        </is>
      </c>
      <c r="D20" s="18" t="n"/>
      <c r="E20" s="12" t="n"/>
      <c r="F20" s="12" t="n"/>
      <c r="G20" s="12" t="n"/>
      <c r="H20" s="19">
        <f>IF(B20&lt;&gt;"Yes","",IF(OR(E20="",F20="",G20=""),"",E20+F20+G20))</f>
        <v/>
      </c>
      <c r="I20" s="20" t="n"/>
      <c r="J20" s="8" t="n"/>
      <c r="K20" s="8" t="n"/>
      <c r="N20" s="21">
        <f>IF(B20="Yes",IF(OR(D20="",H20=""),1,0),0)</f>
        <v/>
      </c>
      <c r="O20" s="21">
        <f>IF(AND(B20="Yes",N20=0),D20*H20,0)</f>
        <v/>
      </c>
      <c r="P20" s="21">
        <f>IF(B20="Yes",IF(OR(I20="",H20=""),1,0),0)</f>
        <v/>
      </c>
      <c r="Q20" s="21">
        <f>IF(AND(B20="Yes",P20=0),I20*H20,0)</f>
        <v/>
      </c>
      <c r="R20" s="21">
        <f>IF(AND(B20="Yes",I20=""),1,0)</f>
        <v/>
      </c>
    </row>
    <row r="22">
      <c r="A22" s="10" t="inlineStr">
        <is>
          <t>C · Budget</t>
        </is>
      </c>
    </row>
    <row r="23">
      <c r="A23" s="11" t="inlineStr">
        <is>
          <t>Per-task token budget</t>
        </is>
      </c>
      <c r="C23" s="12" t="n">
        <v>120000</v>
      </c>
    </row>
    <row r="24">
      <c r="A24" s="11" t="inlineStr">
        <is>
          <t>The budget is enforced…</t>
        </is>
      </c>
      <c r="C24" s="8" t="inlineStr">
        <is>
          <t>Per task, across all rounds</t>
        </is>
      </c>
    </row>
    <row r="25">
      <c r="A25" s="11" t="inlineStr">
        <is>
          <t>Blended price per million tokens (optional)</t>
        </is>
      </c>
      <c r="C25" s="23" t="n"/>
      <c r="E25" s="13" t="inlineStr">
        <is>
          <t>Your own currency. The workbook shows no symbol.</t>
        </is>
      </c>
    </row>
    <row r="27">
      <c r="A27" s="10" t="inlineStr">
        <is>
          <t>The two numbers</t>
        </is>
      </c>
    </row>
    <row r="28" ht="20" customHeight="1">
      <c r="A28" s="24" t="inlineStr">
        <is>
          <t>Typical cost per task</t>
        </is>
      </c>
      <c r="C28" s="25">
        <f>IF(OR(OR(C5="",C6=""),SUM(N14:N20)&gt;0),"",C5+C6+SUM(O14:O20))</f>
        <v/>
      </c>
      <c r="E28" s="13" t="inlineStr">
        <is>
          <t>Unit economics: what every task costs on a normal day.</t>
        </is>
      </c>
    </row>
    <row r="29" ht="20" customHeight="1">
      <c r="A29" s="11" t="inlineStr">
        <is>
          <t>…as a multiple of a clean run</t>
        </is>
      </c>
      <c r="C29" s="26">
        <f>IF(OR(C28="",C5="",C5&lt;=0),"",C28/C5)</f>
        <v/>
      </c>
    </row>
    <row r="30" ht="20" customHeight="1">
      <c r="A30" s="24" t="inlineStr">
        <is>
          <t>Typical demand at peak</t>
        </is>
      </c>
      <c r="C30" s="27">
        <f>IF(OR(C28="",C7=""),"",C7*C28)</f>
        <v/>
      </c>
    </row>
    <row r="31" ht="20" customHeight="1">
      <c r="A31" s="11" t="inlineStr">
        <is>
          <t>…as a share of the quota</t>
        </is>
      </c>
      <c r="C31" s="28">
        <f>IF(OR(C30="",C8="",C8&lt;=0),"",C30/C8)</f>
        <v/>
      </c>
    </row>
    <row r="32" ht="20" customHeight="1">
      <c r="A32" s="24" t="inlineStr">
        <is>
          <t>Worst case per task</t>
        </is>
      </c>
      <c r="C32" s="25">
        <f>IF((SUM(R14:R20)&gt;0),"Unbounded",IF(OR(OR(C5="",C6=""),(SUM(R14:R20)&gt;0),SUM(P14:P20)&gt;0),"",C5+C6+SUM(Q14:Q20)))</f>
        <v/>
      </c>
      <c r="E32" s="13" t="inlineStr">
        <is>
          <t>Availability: every loop at its cap.</t>
        </is>
      </c>
    </row>
    <row r="33" ht="20" customHeight="1">
      <c r="A33" s="11" t="inlineStr">
        <is>
          <t>…as a multiple of a clean run</t>
        </is>
      </c>
      <c r="C33" s="26">
        <f>IF(OR((SUM(R14:R20)&gt;0),C32="",C5="",C5&lt;=0),"",C32/C5)</f>
        <v/>
      </c>
    </row>
    <row r="34" ht="20" customHeight="1">
      <c r="A34" s="24" t="inlineStr">
        <is>
          <t>Worst case at peak</t>
        </is>
      </c>
      <c r="C34" s="27">
        <f>IF((SUM(R14:R20)&gt;0),"Unbounded",IF(OR(C32="",C7=""),"",C7*C32))</f>
        <v/>
      </c>
    </row>
    <row r="35" ht="20" customHeight="1">
      <c r="A35" s="11" t="inlineStr">
        <is>
          <t>…as a share of the quota</t>
        </is>
      </c>
      <c r="C35" s="28">
        <f>IF((SUM(R14:R20)&gt;0),"Unbounded",IF(OR(C34="",C8="",C8&lt;=0),"",C34/C8))</f>
        <v/>
      </c>
    </row>
    <row r="36" ht="20" customHeight="1">
      <c r="A36" s="24" t="inlineStr">
        <is>
          <t>Cost per task</t>
        </is>
      </c>
      <c r="C36" s="29">
        <f>IF(OR(C28="",C25=""),"",C28*C25/1000000)</f>
        <v/>
      </c>
      <c r="E36" s="13" t="inlineStr">
        <is>
          <t>Only when a price is entered.</t>
        </is>
      </c>
    </row>
    <row r="37" ht="20" customHeight="1">
      <c r="A37" s="24" t="inlineStr">
        <is>
          <t>Cost per 1,000 tasks</t>
        </is>
      </c>
      <c r="C37" s="29">
        <f>IF(C36="","",C36*1000)</f>
        <v/>
      </c>
    </row>
    <row r="39">
      <c r="A39" s="10" t="inlineStr">
        <is>
          <t>The five checks</t>
        </is>
      </c>
    </row>
    <row r="40" ht="20" customHeight="1">
      <c r="A40" s="30" t="inlineStr">
        <is>
          <t>#</t>
        </is>
      </c>
      <c r="B40" s="30" t="inlineStr">
        <is>
          <t>Check</t>
        </is>
      </c>
      <c r="C40" s="30" t="n"/>
      <c r="D40" s="30" t="n"/>
      <c r="E40" s="30" t="n"/>
      <c r="F40" s="30" t="inlineStr">
        <is>
          <t>Status</t>
        </is>
      </c>
      <c r="G40" s="30" t="inlineStr">
        <is>
          <t>Why</t>
        </is>
      </c>
      <c r="H40" s="30" t="n"/>
      <c r="I40" s="30" t="n"/>
      <c r="J40" s="30" t="n"/>
      <c r="K40" s="30" t="n"/>
    </row>
    <row r="41" ht="30" customHeight="1">
      <c r="A41" s="31" t="n">
        <v>1</v>
      </c>
      <c r="B41" s="16" t="inlineStr">
        <is>
          <t>Every path that sends work back is listed</t>
        </is>
      </c>
      <c r="F41" s="32">
        <f>IF(COUNTIF(B14:B20,"Yes")=0,"Not answered",IF(COUNTIFS(B14:B20,"Yes",D14:D20,"")&gt;0,"Fail","Pass"))</f>
        <v/>
      </c>
      <c r="G41" s="13">
        <f>IF(COUNTIF(B14:B20,"Yes")=0,"No path is marked as present yet.",IF(COUNTIFS(B14:B20,"Yes",D14:D20,"")&gt;0,"A present path has no average rounds. A path you cannot count is a path you cannot cost.","Every present path says how often it sends work back."))</f>
        <v/>
      </c>
    </row>
    <row r="42" ht="30" customHeight="1">
      <c r="A42" s="31" t="n">
        <v>2</v>
      </c>
      <c r="B42" s="16" t="inlineStr">
        <is>
          <t>Each round is costed as repeated, review and growth</t>
        </is>
      </c>
      <c r="F42" s="32">
        <f>IF(COUNTIF(B14:B20,"Yes")=0,"Not answered",IF(COUNTIFS(B14:B20,"Yes",E14:E20,"")+COUNTIFS(B14:B20,"Yes",F14:F20,"")+COUNTIFS(B14:B20,"Yes",G14:G20,"")&gt;0,"Fail",IF(COUNTIFS(B15:B18,"Yes",G15:G18,0)&gt;0,"Attention","Pass")))</f>
        <v/>
      </c>
      <c r="G42" s="13">
        <f>IF(COUNTIF(B14:B20,"Yes")=0,"No path is marked as present yet.",IF(COUNTIFS(B14:B20,"Yes",E14:E20,"")+COUNTIFS(B14:B20,"Yes",F14:F20,"")+COUNTIFS(B14:B20,"Yes",G14:G20,"")&gt;0,"A present path is missing repeated, review or growth. Zero is a valid answer; blank is not.",IF(COUNTIFS(B15:B18,"Yes",G15:G18,0)&gt;0,"A judge, validation, tool or human path has no context growth. Redos usually carry more context. Check this.","Every present path has all three parts of a round.")))</f>
        <v/>
      </c>
    </row>
    <row r="43" ht="30" customHeight="1">
      <c r="A43" s="31" t="n">
        <v>3</v>
      </c>
      <c r="B43" s="16" t="inlineStr">
        <is>
          <t>Rounds are capped, and something happens after the last one</t>
        </is>
      </c>
      <c r="F43" s="32">
        <f>IF(COUNTIF(B14:B20,"Yes")=0,"Not answered",IF(OR(SUM(R14:R20)&gt;0,COUNTIFS(B14:B20,"Yes",J14:J20,"")+COUNTIFS(B14:B20,"Yes",J14:J20,"Not decided")&gt;0),"Fail",IF(COUNTIFS(B14:B20,"Yes",K14:K20,"")&gt;0,"Attention","Pass")))</f>
        <v/>
      </c>
      <c r="G43" s="13">
        <f>IF(COUNTIF(B14:B20,"Yes")=0,"No path is marked as present yet.",IF(SUM(R14:R20)&gt;0,"A present path has no cap. Without one the worst case has no ceiling.",IF(COUNTIFS(B14:B20,"Yes",J14:J20,"")+COUNTIFS(B14:B20,"Yes",J14:J20,"Not decided")&gt;0,"A present path has no decided outcome after the last round.",IF(COUNTIFS(B14:B20,"Yes",K14:K20,"")&gt;0,"A path is capped with an outcome, but nobody owns it.","Every present path is capped, with a decided outcome and a named owner."))))</f>
        <v/>
      </c>
    </row>
    <row r="44" ht="30" customHeight="1">
      <c r="A44" s="31" t="n">
        <v>4</v>
      </c>
      <c r="B44" s="16" t="inlineStr">
        <is>
          <t>Two numbers: unit economics and availability</t>
        </is>
      </c>
      <c r="F44" s="32">
        <f>IF((SUM(R14:R20)&gt;0),"Fail",IF(OR(C31="",C35=""),"Not answered",IF(C31&gt;1,"Fail",IF(AND(C31&lt;=0.8,C35&lt;=1),"Pass","Attention"))))</f>
        <v/>
      </c>
      <c r="G44" s="13">
        <f>IF((SUM(R14:R20)&gt;0),"The worst case is unbounded, so there is no availability number to check.",IF(OR(C31="",C35=""),"Peak tasks per minute and the quota are needed for this one.",IF(C31&gt;1,"Your normal load already exceeds the quota.",IF(AND(C31&lt;=0.8,C35&lt;=1),"Normal load has headroom, and the worst case still fits.",IF(C31&lt;=0.8,"Normal load has headroom, but the worst case goes over the quota.","Normal load is above 80% of the quota. Any spike tips it over.")))))</f>
        <v/>
      </c>
    </row>
    <row r="45" ht="30" customHeight="1">
      <c r="A45" s="31" t="n">
        <v>5</v>
      </c>
      <c r="B45" s="16" t="inlineStr">
        <is>
          <t>The budget belongs to the task, across all its rounds</t>
        </is>
      </c>
      <c r="F45" s="32">
        <f>IF(C24="","Not answered",IF(C24&lt;&gt;"Per task, across all rounds","Fail",IF(OR(C23="",C28=""),"Not answered",IF(C23&lt;C28,"Fail",IF(OR((SUM(R14:R20)&gt;0),AND(C32&lt;&gt;"",C32&lt;&gt;"Unbounded",C32&gt;C23)),"Pass",IF(C32="","Not answered","Attention"))))))</f>
        <v/>
      </c>
      <c r="G45" s="13">
        <f>IF(C24="","Say how the budget is enforced.",IF(C24="Per call only","A per-call budget never sees the rounds add up. The task is what costs money.",IF(C24="Not enforced","Nothing stops a task at a token total.",IF(OR(C23="",C28=""),"Enter a per-task budget to check it against the two totals.",IF(C23&lt;C28,"The budget will cut normal tasks short.",IF(OR((SUM(R14:R20)&gt;0),AND(C32&lt;&gt;"",C32&lt;&gt;"Unbounded",C32&gt;C23)),"The budget stops the worst case. Make sure check 3's outcome runs when it does.",IF(C32="","The worst case is not worked out yet.","The budget never binds; your caps are the only stop.")))))))</f>
        <v/>
      </c>
    </row>
    <row r="47" ht="26" customHeight="1">
      <c r="A47" s="1" t="inlineStr">
        <is>
          <t>Your next step</t>
        </is>
      </c>
      <c r="C47" s="11">
        <f>IF(COUNTIF(F41:F45,"Fail")&gt;0,"Check "&amp;INDEX(A41:A45,MATCH("Fail",F41:F45,0))&amp;" — "&amp;INDEX(G41:G45,MATCH("Fail",F41:F45,0)),IF(COUNTIF(F41:F45,"Attention")&gt;0,"Check "&amp;INDEX(A41:A45,MATCH("Attention",F41:F45,0))&amp;" — "&amp;INDEX(G41:G45,MATCH("Attention",F41:F45,0)),"Nothing outstanding."))</f>
        <v/>
      </c>
    </row>
  </sheetData>
  <sheetProtection selectLockedCells="0" selectUnlockedCells="0" sheet="1" objects="0" insertRows="1" insertHyperlinks="1" autoFilter="1" scenarios="0" formatColumns="1" deleteColumns="1" insertColumns="1" pivotTables="1" deleteRows="1" formatCells="0" formatRows="1" sort="1"/>
  <mergeCells count="52">
    <mergeCell ref="C47:K47"/>
    <mergeCell ref="C34:D34"/>
    <mergeCell ref="B40:E40"/>
    <mergeCell ref="A24:B24"/>
    <mergeCell ref="A30:B30"/>
    <mergeCell ref="E36:K36"/>
    <mergeCell ref="C24:D24"/>
    <mergeCell ref="C30:D30"/>
    <mergeCell ref="G43:K43"/>
    <mergeCell ref="C33:D33"/>
    <mergeCell ref="G42:K42"/>
    <mergeCell ref="A36:B36"/>
    <mergeCell ref="E32:K32"/>
    <mergeCell ref="E25:K25"/>
    <mergeCell ref="A6:B6"/>
    <mergeCell ref="C35:D35"/>
    <mergeCell ref="B45:E45"/>
    <mergeCell ref="B41:E41"/>
    <mergeCell ref="C29:D29"/>
    <mergeCell ref="A7:B7"/>
    <mergeCell ref="A25:B25"/>
    <mergeCell ref="D6:K6"/>
    <mergeCell ref="A37:B37"/>
    <mergeCell ref="C31:D31"/>
    <mergeCell ref="A12:K12"/>
    <mergeCell ref="D7:K7"/>
    <mergeCell ref="B43:E43"/>
    <mergeCell ref="A33:B33"/>
    <mergeCell ref="A47:B47"/>
    <mergeCell ref="A5:B5"/>
    <mergeCell ref="A2:K2"/>
    <mergeCell ref="A32:B32"/>
    <mergeCell ref="C36:D36"/>
    <mergeCell ref="A23:B23"/>
    <mergeCell ref="G45:K45"/>
    <mergeCell ref="A8:B8"/>
    <mergeCell ref="B42:E42"/>
    <mergeCell ref="A35:B35"/>
    <mergeCell ref="E28:K28"/>
    <mergeCell ref="C32:D32"/>
    <mergeCell ref="A29:B29"/>
    <mergeCell ref="D8:K8"/>
    <mergeCell ref="B44:E44"/>
    <mergeCell ref="A28:B28"/>
    <mergeCell ref="C37:D37"/>
    <mergeCell ref="C28:D28"/>
    <mergeCell ref="G41:K41"/>
    <mergeCell ref="G44:K44"/>
    <mergeCell ref="D5:K5"/>
    <mergeCell ref="A31:B31"/>
    <mergeCell ref="G40:K40"/>
    <mergeCell ref="A34:B34"/>
  </mergeCells>
  <conditionalFormatting sqref="A14:K20">
    <cfRule type="expression" priority="1" dxfId="0">
      <formula>$B14&lt;&gt;"Yes"</formula>
    </cfRule>
  </conditionalFormatting>
  <conditionalFormatting sqref="F41:F45">
    <cfRule type="expression" priority="2" dxfId="1">
      <formula>$F41="Pass"</formula>
    </cfRule>
    <cfRule type="expression" priority="3" dxfId="2">
      <formula>$F41="Attention"</formula>
    </cfRule>
    <cfRule type="expression" priority="4" dxfId="3">
      <formula>$F41="Fail"</formula>
    </cfRule>
  </conditionalFormatting>
  <dataValidations count="3">
    <dataValidation sqref="B14:C20" showDropDown="0" showInputMessage="0" showErrorMessage="0" allowBlank="1" type="list">
      <formula1>$T$1:$T$2</formula1>
    </dataValidation>
    <dataValidation sqref="J14:J20" showDropDown="0" showInputMessage="0" showErrorMessage="0" allowBlank="1" type="list">
      <formula1>$T$4:$T$8</formula1>
    </dataValidation>
    <dataValidation sqref="C24" showDropDown="0" showInputMessage="0" showErrorMessage="0" allowBlank="1" type="list">
      <formula1>$T$10:$T$12</formula1>
    </dataValidation>
  </dataValidations>
  <pageMargins left="0.4" right="0.4" top="0.4" bottom="0.4"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2026-09-28T01:49:03Z</dcterms:created>
  <dcterms:modified xsi:type="dcterms:W3CDTF">2026-09-28T01:49:03Z</dcterms:modified>
</cp:coreProperties>
</file>