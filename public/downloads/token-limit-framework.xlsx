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 Start here" sheetId="1" state="visible" r:id="rId1"/>
    <sheet name="1 · Workflow Map" sheetId="2" state="visible" r:id="rId2"/>
    <sheet name="2 · Limits" sheetId="3" state="visible" r:id="rId3"/>
    <sheet name="3 · Retry Amplifier" sheetId="4" state="visible" r:id="rId4"/>
    <sheet name="4 · Stop States" sheetId="5" state="visible" r:id="rId5"/>
    <sheet name="5 · Decision" sheetId="6" state="visible" r:id="rId6"/>
    <sheet name="6 · Worked Example" sheetId="7" state="visible" r:id="rId7"/>
  </sheets>
  <definedNames/>
  <calcPr calcId="124519" fullCalcOnLoad="1"/>
</workbook>
</file>

<file path=xl/styles.xml><?xml version="1.0" encoding="utf-8"?>
<styleSheet xmlns="http://schemas.openxmlformats.org/spreadsheetml/2006/main">
  <numFmts count="3">
    <numFmt numFmtId="164" formatCode="[$-409]#,##0"/>
    <numFmt numFmtId="165" formatCode="0.00&quot;×&quot;"/>
    <numFmt numFmtId="166" formatCode="0.0%"/>
  </numFmts>
  <fonts count="18">
    <font>
      <name val="Calibri"/>
      <family val="2"/>
      <color theme="1"/>
      <sz val="11"/>
      <scheme val="minor"/>
    </font>
    <font>
      <name val="Figtree"/>
      <b val="1"/>
      <color rgb="FF765523"/>
      <sz val="9"/>
    </font>
    <font>
      <name val="Source Serif 4"/>
      <color rgb="FF172E26"/>
      <sz val="28"/>
    </font>
    <font>
      <name val="Figtree"/>
      <color rgb="FF526259"/>
      <sz val="12"/>
    </font>
    <font>
      <name val="Figtree"/>
      <color rgb="FF526259"/>
      <sz val="9"/>
    </font>
    <font>
      <name val="Figtree"/>
      <b val="1"/>
      <color rgb="FF183D32"/>
      <sz val="9"/>
    </font>
    <font>
      <name val="Figtree"/>
      <color rgb="FF172E26"/>
      <sz val="11"/>
    </font>
    <font>
      <name val="Figtree"/>
      <color rgb="FF183D32"/>
      <sz val="9"/>
    </font>
    <font>
      <name val="Source Serif 4"/>
      <color rgb="FF172E26"/>
      <sz val="20"/>
    </font>
    <font>
      <name val="Figtree"/>
      <b val="1"/>
      <color rgb="FFF5F0E6"/>
      <sz val="10"/>
    </font>
    <font>
      <name val="Figtree"/>
      <b val="1"/>
      <color rgb="FF172E26"/>
      <sz val="11"/>
    </font>
    <font>
      <name val="Figtree"/>
      <b val="1"/>
      <color rgb="FF172E26"/>
      <sz val="14"/>
    </font>
    <font>
      <name val="Figtree"/>
      <i val="1"/>
      <color rgb="FF526259"/>
      <sz val="11"/>
    </font>
    <font>
      <name val="Source Serif 4"/>
      <color rgb="FF172E26"/>
      <sz val="14"/>
    </font>
    <font>
      <name val="Figtree"/>
      <b val="1"/>
      <color rgb="FF172E26"/>
      <sz val="13"/>
    </font>
    <font>
      <name val="Figtree"/>
      <color rgb="FF526259"/>
      <sz val="10"/>
    </font>
    <font>
      <name val="Figtree"/>
      <b val="1"/>
      <color rgb="FF963D34"/>
      <sz val="10"/>
    </font>
    <font>
      <name val="Figtree"/>
      <b val="1"/>
      <color rgb="FF765523"/>
      <sz val="12"/>
    </font>
  </fonts>
  <fills count="5">
    <fill>
      <patternFill/>
    </fill>
    <fill>
      <patternFill patternType="gray125"/>
    </fill>
    <fill>
      <patternFill patternType="solid">
        <fgColor rgb="FFF4E9CE"/>
      </patternFill>
    </fill>
    <fill>
      <patternFill patternType="solid">
        <fgColor rgb="FF183D32"/>
      </patternFill>
    </fill>
    <fill>
      <patternFill patternType="solid">
        <fgColor rgb="FFF5F0E6"/>
      </patternFill>
    </fill>
  </fills>
  <borders count="3">
    <border>
      <left/>
      <right/>
      <top/>
      <bottom/>
      <diagonal/>
    </border>
    <border>
      <left style="thin">
        <color rgb="FF183D32"/>
      </left>
      <right style="thin">
        <color rgb="FF183D32"/>
      </right>
      <top style="thin">
        <color rgb="FF183D32"/>
      </top>
      <bottom style="thin">
        <color rgb="FF183D32"/>
      </bottom>
    </border>
    <border>
      <bottom style="thin">
        <color rgb="FFCBD1C8"/>
      </bottom>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top" wrapText="1"/>
    </xf>
    <xf numFmtId="0" fontId="4" fillId="0" borderId="0" applyAlignment="1" pivotButton="0" quotePrefix="0" xfId="0">
      <alignment horizontal="left" vertical="center"/>
    </xf>
    <xf numFmtId="0" fontId="5" fillId="0" borderId="0" applyAlignment="1" pivotButton="0" quotePrefix="0" xfId="0">
      <alignment horizontal="left" vertical="top"/>
    </xf>
    <xf numFmtId="0" fontId="6" fillId="0" borderId="0" applyAlignment="1" pivotButton="0" quotePrefix="0" xfId="0">
      <alignment horizontal="left" vertical="top" wrapText="1"/>
    </xf>
    <xf numFmtId="0" fontId="7" fillId="0" borderId="0" applyAlignment="1" pivotButton="0" quotePrefix="0" xfId="0">
      <alignment horizontal="left" vertical="center"/>
    </xf>
    <xf numFmtId="0" fontId="6" fillId="0" borderId="0" applyAlignment="1" pivotButton="0" quotePrefix="0" xfId="0">
      <alignment horizontal="left" vertical="center"/>
    </xf>
    <xf numFmtId="0" fontId="6" fillId="2" borderId="1" applyAlignment="1" applyProtection="1" pivotButton="0" quotePrefix="0" xfId="0">
      <alignment horizontal="left" vertical="center"/>
      <protection locked="0" hidden="0"/>
    </xf>
    <xf numFmtId="0" fontId="8" fillId="0" borderId="0" applyAlignment="1" pivotButton="0" quotePrefix="0" xfId="0">
      <alignment horizontal="left" vertical="center"/>
    </xf>
    <xf numFmtId="0" fontId="3" fillId="0" borderId="0" applyAlignment="1" pivotButton="0" quotePrefix="0" xfId="0">
      <alignment horizontal="left" vertical="center"/>
    </xf>
    <xf numFmtId="0" fontId="9" fillId="3" borderId="0" applyAlignment="1" pivotButton="0" quotePrefix="0" xfId="0">
      <alignment horizontal="left" vertical="bottom" wrapText="1"/>
    </xf>
    <xf numFmtId="0" fontId="4" fillId="0" borderId="0" applyAlignment="1" pivotButton="0" quotePrefix="0" xfId="0">
      <alignment horizontal="left" vertical="top" wrapText="1"/>
    </xf>
    <xf numFmtId="0" fontId="6" fillId="0" borderId="2" applyAlignment="1" pivotButton="0" quotePrefix="0" xfId="0">
      <alignment horizontal="center" vertical="center"/>
    </xf>
    <xf numFmtId="0" fontId="6" fillId="2" borderId="1" applyAlignment="1" applyProtection="1" pivotButton="0" quotePrefix="0" xfId="0">
      <alignment horizontal="center" vertical="center"/>
      <protection locked="0" hidden="0"/>
    </xf>
    <xf numFmtId="164" fontId="6" fillId="2" borderId="1" applyAlignment="1" applyProtection="1" pivotButton="0" quotePrefix="0" xfId="0">
      <alignment horizontal="right" vertical="center"/>
      <protection locked="0" hidden="0"/>
    </xf>
    <xf numFmtId="164" fontId="6" fillId="0" borderId="2" applyAlignment="1" pivotButton="0" quotePrefix="0" xfId="0">
      <alignment horizontal="right" vertical="center"/>
    </xf>
    <xf numFmtId="0" fontId="6" fillId="0" borderId="0" applyAlignment="1" pivotButton="0" quotePrefix="0" xfId="0">
      <alignment horizontal="right" vertical="center"/>
    </xf>
    <xf numFmtId="0" fontId="10" fillId="0" borderId="0" applyAlignment="1" pivotButton="0" quotePrefix="0" xfId="0">
      <alignment horizontal="left" vertical="center"/>
    </xf>
    <xf numFmtId="164" fontId="11" fillId="0" borderId="0" applyAlignment="1" pivotButton="0" quotePrefix="0" xfId="0">
      <alignment horizontal="right" vertical="center"/>
    </xf>
    <xf numFmtId="0" fontId="12" fillId="2" borderId="1" applyAlignment="1" applyProtection="1" pivotButton="0" quotePrefix="0" xfId="0">
      <alignment horizontal="left" vertical="center"/>
      <protection locked="0" hidden="0"/>
    </xf>
    <xf numFmtId="0" fontId="13" fillId="0" borderId="0" applyAlignment="1" pivotButton="0" quotePrefix="0" xfId="0">
      <alignment horizontal="left" vertical="center"/>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6" fillId="2" borderId="1" applyAlignment="1" applyProtection="1" pivotButton="0" quotePrefix="0" xfId="0">
      <alignment horizontal="right" vertical="center"/>
      <protection locked="0" hidden="0"/>
    </xf>
    <xf numFmtId="164" fontId="11" fillId="0" borderId="2" applyAlignment="1" pivotButton="0" quotePrefix="0" xfId="0">
      <alignment horizontal="right" vertical="center"/>
    </xf>
    <xf numFmtId="165" fontId="11" fillId="0" borderId="2" applyAlignment="1" pivotButton="0" quotePrefix="0" xfId="0">
      <alignment horizontal="right" vertical="center"/>
    </xf>
    <xf numFmtId="166" fontId="11" fillId="0" borderId="2" applyAlignment="1" pivotButton="0" quotePrefix="0" xfId="0">
      <alignment horizontal="right" vertical="center"/>
    </xf>
    <xf numFmtId="0" fontId="10" fillId="4" borderId="0" applyAlignment="1" pivotButton="0" quotePrefix="0" xfId="0">
      <alignment horizontal="left" vertical="center"/>
    </xf>
    <xf numFmtId="0" fontId="0" fillId="4" borderId="0" pivotButton="0" quotePrefix="0" xfId="0"/>
    <xf numFmtId="0" fontId="14" fillId="4" borderId="0" applyAlignment="1" pivotButton="0" quotePrefix="0" xfId="0">
      <alignment horizontal="left" vertical="center"/>
    </xf>
    <xf numFmtId="0" fontId="6" fillId="0" borderId="2" applyAlignment="1" pivotButton="0" quotePrefix="0" xfId="0">
      <alignment horizontal="left" vertical="center" wrapText="1"/>
    </xf>
    <xf numFmtId="0" fontId="6" fillId="2" borderId="1" applyAlignment="1" applyProtection="1" pivotButton="0" quotePrefix="0" xfId="0">
      <alignment horizontal="left" vertical="center" wrapText="1"/>
      <protection locked="0" hidden="0"/>
    </xf>
    <xf numFmtId="0" fontId="15" fillId="0" borderId="2" applyAlignment="1" pivotButton="0" quotePrefix="0" xfId="0">
      <alignment horizontal="center" vertical="center"/>
    </xf>
    <xf numFmtId="0" fontId="16" fillId="0" borderId="2" applyAlignment="1" pivotButton="0" quotePrefix="0" xfId="0">
      <alignment horizontal="center" vertical="center"/>
    </xf>
    <xf numFmtId="1" fontId="11" fillId="0" borderId="0" applyAlignment="1" pivotButton="0" quotePrefix="0" xfId="0">
      <alignment horizontal="right" vertical="center"/>
    </xf>
    <xf numFmtId="0" fontId="14" fillId="0" borderId="0" applyAlignment="1" pivotButton="0" quotePrefix="0" xfId="0">
      <alignment horizontal="left" vertical="center"/>
    </xf>
    <xf numFmtId="0" fontId="10" fillId="0" borderId="0" applyAlignment="1" pivotButton="0" quotePrefix="0" xfId="0">
      <alignment horizontal="left" vertical="center" wrapText="1"/>
    </xf>
    <xf numFmtId="0" fontId="17" fillId="2" borderId="0" applyAlignment="1" pivotButton="0" quotePrefix="0" xfId="0">
      <alignment horizontal="left" vertical="center"/>
    </xf>
  </cellXfs>
  <cellStyles count="1">
    <cellStyle name="Normal" xfId="0" builtinId="0" hidden="0"/>
  </cellStyles>
  <dxfs count="6">
    <dxf>
      <font>
        <name val="Figtree"/>
        <b val="1"/>
        <color rgb="FF963D34"/>
        <sz val="14"/>
      </font>
      <fill>
        <patternFill patternType="solid">
          <fgColor rgb="FFF7E8E3"/>
        </patternFill>
      </fill>
    </dxf>
    <dxf>
      <font>
        <name val="Figtree"/>
        <b val="1"/>
        <color rgb="FF215C42"/>
        <sz val="13"/>
      </font>
      <fill>
        <patternFill patternType="solid">
          <fgColor rgb="FFE6EFE5"/>
        </patternFill>
      </fill>
    </dxf>
    <dxf>
      <font>
        <name val="Figtree"/>
        <b val="1"/>
        <color rgb="FF765523"/>
        <sz val="13"/>
      </font>
      <fill>
        <patternFill patternType="solid">
          <fgColor rgb="FFF4E9CE"/>
        </patternFill>
      </fill>
    </dxf>
    <dxf>
      <font>
        <name val="Figtree"/>
        <b val="1"/>
        <color rgb="FF963D34"/>
        <sz val="13"/>
      </font>
      <fill>
        <patternFill patternType="solid">
          <fgColor rgb="FFF7E8E3"/>
        </patternFill>
      </fill>
    </dxf>
    <dxf>
      <font>
        <name val="Figtree"/>
        <color rgb="FF526259"/>
        <sz val="11"/>
      </font>
      <fill>
        <patternFill patternType="solid">
          <fgColor rgb="FFF5F0E6"/>
        </patternFill>
      </fill>
    </dxf>
    <dxf>
      <font>
        <name val="Figtree"/>
        <b val="1"/>
        <color rgb="FF526259"/>
        <sz val="13"/>
      </font>
      <fill>
        <patternFill patternType="solid">
          <fgColor rgb="FFF5F0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2114550" cy="4191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83D32"/>
    <outlinePr summaryBelow="1" summaryRight="1"/>
    <pageSetUpPr fitToPage="1"/>
  </sheetPr>
  <dimension ref="B4:D28"/>
  <sheetViews>
    <sheetView showGridLines="0" workbookViewId="0">
      <selection activeCell="A1" sqref="A1"/>
    </sheetView>
  </sheetViews>
  <sheetFormatPr baseColWidth="8" defaultRowHeight="15"/>
  <cols>
    <col width="2.4" customWidth="1" min="1" max="1"/>
    <col width="20" customWidth="1" min="2" max="2"/>
    <col width="62" customWidth="1" min="3" max="3"/>
    <col width="26" customWidth="1" min="4" max="4"/>
  </cols>
  <sheetData>
    <row r="2" ht="40" customHeight="1"/>
    <row r="3" ht="14" customHeight="1"/>
    <row r="4" ht="14" customHeight="1">
      <c r="B4" s="1" t="inlineStr">
        <is>
          <t>RESOURCES · AGENTIC SYSTEM DESIGN</t>
        </is>
      </c>
    </row>
    <row r="6" ht="40" customHeight="1">
      <c r="B6" s="2" t="inlineStr">
        <is>
          <t>Token Limit Framework</t>
        </is>
      </c>
    </row>
    <row r="7" ht="34" customHeight="1">
      <c r="B7" s="3" t="inlineStr">
        <is>
          <t>Decide what your agent does when it's told no — before a traffic spike decides for you.</t>
        </is>
      </c>
    </row>
    <row r="8">
      <c r="B8" s="4" t="inlineStr">
        <is>
          <t>Sunil Mathew · The Living Craft</t>
        </is>
      </c>
    </row>
    <row r="10" ht="46" customHeight="1">
      <c r="B10" s="5" t="inlineStr">
        <is>
          <t>What to bring</t>
        </is>
      </c>
      <c r="C10" s="6" t="inlineStr">
        <is>
          <t>One agent workflow you run or plan to run, the steps it takes, rough token counts per step (from traces or an estimate), and the rate and token limits it runs under.</t>
        </is>
      </c>
    </row>
    <row r="12" ht="46" customHeight="1">
      <c r="B12" s="5" t="inlineStr">
        <is>
          <t>What to do</t>
        </is>
      </c>
      <c r="C12" s="6" t="inlineStr">
        <is>
          <t>Map the steps, list every limit that can refuse the agent, model retry amplification at peak, define a stop state for every step with a side effect, and score the ten checks.</t>
        </is>
      </c>
    </row>
    <row r="14" ht="46" customHeight="1">
      <c r="B14" s="5" t="inlineStr">
        <is>
          <t>What you leave with</t>
        </is>
      </c>
      <c r="C14" s="6" t="inlineStr">
        <is>
          <t>A token-limit policy for that workflow (per-task budget, retry rule, stop states with clean-up owners) and a decision: Ready to scale, Fix first, or Hold.</t>
        </is>
      </c>
    </row>
    <row r="16" ht="30" customHeight="1">
      <c r="B16" s="5" t="inlineStr">
        <is>
          <t>How to use it</t>
        </is>
      </c>
      <c r="C16" s="6" t="inlineStr">
        <is>
          <t>Work left to right through tabs 1–5. The Worked Example tab shows a completed version.</t>
        </is>
      </c>
    </row>
    <row r="18" ht="22" customHeight="1">
      <c r="B18" s="5" t="inlineStr">
        <is>
          <t>The five questions</t>
        </is>
      </c>
      <c r="C18" s="6" t="inlineStr">
        <is>
          <t>What does one run of this workflow cost, step by step?</t>
        </is>
      </c>
      <c r="D18" s="7" t="inlineStr">
        <is>
          <t>1 · Workflow Map</t>
        </is>
      </c>
    </row>
    <row r="19" ht="22" customHeight="1">
      <c r="C19" s="6" t="inlineStr">
        <is>
          <t>Which limits can refuse the agent, and who shares them?</t>
        </is>
      </c>
      <c r="D19" s="7" t="inlineStr">
        <is>
          <t>2 · Limits</t>
        </is>
      </c>
    </row>
    <row r="20" ht="22" customHeight="1">
      <c r="C20" s="6" t="inlineStr">
        <is>
          <t>How far can retries amplify spend at peak?</t>
        </is>
      </c>
      <c r="D20" s="7" t="inlineStr">
        <is>
          <t>3 · Retry Amplifier</t>
        </is>
      </c>
    </row>
    <row r="21" ht="22" customHeight="1">
      <c r="C21" s="6" t="inlineStr">
        <is>
          <t>If the agent stops at each step, what's left behind and who cleans it up?</t>
        </is>
      </c>
      <c r="D21" s="7" t="inlineStr">
        <is>
          <t>4 · Stop States</t>
        </is>
      </c>
    </row>
    <row r="22" ht="22" customHeight="1">
      <c r="C22" s="6" t="inlineStr">
        <is>
          <t>Is the limit policy good enough to scale?</t>
        </is>
      </c>
      <c r="D22" s="7" t="inlineStr">
        <is>
          <t>5 · Decision</t>
        </is>
      </c>
    </row>
    <row r="24" ht="22" customHeight="1">
      <c r="B24" s="5" t="inlineStr">
        <is>
          <t>Cell legend</t>
        </is>
      </c>
      <c r="C24" s="8" t="inlineStr">
        <is>
          <t>Shaded cells are yours to fill. Everything else calculates.</t>
        </is>
      </c>
    </row>
    <row r="25" ht="22" customHeight="1">
      <c r="C25" s="9" t="inlineStr">
        <is>
          <t>Yours to fill</t>
        </is>
      </c>
      <c r="D25" s="4" t="inlineStr">
        <is>
          <t>Shaded, with a thin border.</t>
        </is>
      </c>
    </row>
    <row r="26" ht="22" customHeight="1">
      <c r="C26" s="8" t="inlineStr">
        <is>
          <t>Calculates for you</t>
        </is>
      </c>
      <c r="D26" s="4" t="inlineStr">
        <is>
          <t>No fill, and locked.</t>
        </is>
      </c>
    </row>
    <row r="28">
      <c r="B28" s="4" t="inlineStr">
        <is>
          <t>© The Living Craft · thelivingcraft.ai · Content CC BY 4.0</t>
        </is>
      </c>
    </row>
  </sheetData>
  <sheetProtection selectLockedCells="0" selectUnlockedCells="0" sheet="1" objects="0" insertRows="1" insertHyperlinks="1" autoFilter="1" scenarios="0" formatColumns="1" deleteColumns="1" insertColumns="1" pivotTables="1" deleteRows="1" formatCells="0" formatRows="1" sort="1"/>
  <mergeCells count="8">
    <mergeCell ref="B28:D28"/>
    <mergeCell ref="C12:D12"/>
    <mergeCell ref="C10:D10"/>
    <mergeCell ref="C16:D16"/>
    <mergeCell ref="B8:D8"/>
    <mergeCell ref="C14:D14"/>
    <mergeCell ref="B7:D7"/>
    <mergeCell ref="B6:D6"/>
  </mergeCells>
  <pageMargins left="0.4" right="0.4" top="0.4" bottom="0.4" header="0.5" footer="0.5"/>
  <pageSetup orientation="landscape"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L21"/>
  <sheetViews>
    <sheetView workbookViewId="0">
      <pane ySplit="5" topLeftCell="A6" activePane="bottomLeft" state="frozen"/>
      <selection pane="bottomLeft" activeCell="A1" sqref="A1"/>
    </sheetView>
  </sheetViews>
  <sheetFormatPr baseColWidth="8" defaultRowHeight="15"/>
  <cols>
    <col width="8" customWidth="1" min="1" max="1"/>
    <col width="28" customWidth="1" min="2" max="2"/>
    <col width="14" customWidth="1" min="3" max="3"/>
    <col width="16" customWidth="1" min="4" max="4"/>
    <col width="16" customWidth="1" min="5" max="5"/>
    <col width="13" customWidth="1" min="6" max="6"/>
    <col width="13" customWidth="1" min="7" max="7"/>
    <col width="15" customWidth="1" min="8" max="8"/>
    <col width="19" customWidth="1" min="9" max="9"/>
    <col width="16" customWidth="1" min="10" max="10"/>
    <col width="18" customWidth="1" min="11" max="11"/>
    <col hidden="1" width="13" customWidth="1" min="12" max="12"/>
  </cols>
  <sheetData>
    <row r="1" ht="28" customHeight="1">
      <c r="A1" s="10" t="inlineStr">
        <is>
          <t>1 · Workflow Map</t>
        </is>
      </c>
    </row>
    <row r="2" ht="18" customHeight="1">
      <c r="A2" s="11" t="inlineStr">
        <is>
          <t>What does one run of this workflow cost, step by step?</t>
        </is>
      </c>
    </row>
    <row r="4" ht="42" customHeight="1">
      <c r="A4" s="12" t="inlineStr">
        <is>
          <t>Step #</t>
        </is>
      </c>
      <c r="B4" s="12" t="inlineStr">
        <is>
          <t>Step name</t>
        </is>
      </c>
      <c r="C4" s="12" t="inlineStr">
        <is>
          <t>Calls a model?</t>
        </is>
      </c>
      <c r="D4" s="12" t="inlineStr">
        <is>
          <t>Calls an external API?</t>
        </is>
      </c>
      <c r="E4" s="12" t="inlineStr">
        <is>
          <t>Side effect</t>
        </is>
      </c>
      <c r="F4" s="12" t="inlineStr">
        <is>
          <t>Input tokens</t>
        </is>
      </c>
      <c r="G4" s="12" t="inlineStr">
        <is>
          <t>Output tokens</t>
        </is>
      </c>
      <c r="H4" s="12" t="inlineStr">
        <is>
          <t>Step tokens</t>
        </is>
      </c>
      <c r="I4" s="12" t="inlineStr">
        <is>
          <t>Cumulative tokens</t>
        </is>
      </c>
      <c r="J4" s="12" t="inlineStr">
        <is>
          <t>Idempotent on retry?</t>
        </is>
      </c>
      <c r="K4" s="12" t="inlineStr">
        <is>
          <t>Checkpoint saved after step?</t>
        </is>
      </c>
    </row>
    <row r="5" ht="38" customHeight="1">
      <c r="B5" s="13" t="inlineStr">
        <is>
          <t>Plain words. "Read calendars", not "step 2".</t>
        </is>
      </c>
      <c r="E5" s="13" t="inlineStr">
        <is>
          <t>Holding a room is Reversible. Sending an invite is Irreversible.</t>
        </is>
      </c>
      <c r="F5" s="13" t="inlineStr">
        <is>
          <t>Tokens sent on this step, including carried context.</t>
        </is>
      </c>
      <c r="J5" s="13" t="inlineStr">
        <is>
          <t>Can this step safely run twice?</t>
        </is>
      </c>
      <c r="K5" s="13" t="inlineStr">
        <is>
          <t>Can a retry resume here instead of restarting?</t>
        </is>
      </c>
    </row>
    <row r="6" ht="22" customHeight="1">
      <c r="A6" s="14" t="n">
        <v>1</v>
      </c>
      <c r="B6" s="9" t="n"/>
      <c r="C6" s="15" t="n"/>
      <c r="D6" s="15" t="n"/>
      <c r="E6" s="9" t="n"/>
      <c r="F6" s="16" t="n"/>
      <c r="G6" s="16" t="n"/>
      <c r="H6" s="17">
        <f>IF(AND(F6="",G6=""),"",SUM(F6:G6))</f>
        <v/>
      </c>
      <c r="I6" s="17">
        <f>IF(H6="","",SUM($H$6:H6))</f>
        <v/>
      </c>
      <c r="J6" s="15" t="n"/>
      <c r="K6" s="15" t="n"/>
      <c r="L6" s="18">
        <f>IF(K6="Yes",A6,0)</f>
        <v/>
      </c>
    </row>
    <row r="7" ht="22" customHeight="1">
      <c r="A7" s="14" t="n">
        <v>2</v>
      </c>
      <c r="B7" s="9" t="n"/>
      <c r="C7" s="15" t="n"/>
      <c r="D7" s="15" t="n"/>
      <c r="E7" s="9" t="n"/>
      <c r="F7" s="16" t="n"/>
      <c r="G7" s="16" t="n"/>
      <c r="H7" s="17">
        <f>IF(AND(F7="",G7=""),"",SUM(F7:G7))</f>
        <v/>
      </c>
      <c r="I7" s="17">
        <f>IF(H7="","",SUM($H$6:H7))</f>
        <v/>
      </c>
      <c r="J7" s="15" t="n"/>
      <c r="K7" s="15" t="n"/>
      <c r="L7" s="18">
        <f>IF(K7="Yes",A7,L6)</f>
        <v/>
      </c>
    </row>
    <row r="8" ht="22" customHeight="1">
      <c r="A8" s="14" t="n">
        <v>3</v>
      </c>
      <c r="B8" s="9" t="n"/>
      <c r="C8" s="15" t="n"/>
      <c r="D8" s="15" t="n"/>
      <c r="E8" s="9" t="n"/>
      <c r="F8" s="16" t="n"/>
      <c r="G8" s="16" t="n"/>
      <c r="H8" s="17">
        <f>IF(AND(F8="",G8=""),"",SUM(F8:G8))</f>
        <v/>
      </c>
      <c r="I8" s="17">
        <f>IF(H8="","",SUM($H$6:H8))</f>
        <v/>
      </c>
      <c r="J8" s="15" t="n"/>
      <c r="K8" s="15" t="n"/>
      <c r="L8" s="18">
        <f>IF(K8="Yes",A8,L7)</f>
        <v/>
      </c>
    </row>
    <row r="9" ht="22" customHeight="1">
      <c r="A9" s="14" t="n">
        <v>4</v>
      </c>
      <c r="B9" s="9" t="n"/>
      <c r="C9" s="15" t="n"/>
      <c r="D9" s="15" t="n"/>
      <c r="E9" s="9" t="n"/>
      <c r="F9" s="16" t="n"/>
      <c r="G9" s="16" t="n"/>
      <c r="H9" s="17">
        <f>IF(AND(F9="",G9=""),"",SUM(F9:G9))</f>
        <v/>
      </c>
      <c r="I9" s="17">
        <f>IF(H9="","",SUM($H$6:H9))</f>
        <v/>
      </c>
      <c r="J9" s="15" t="n"/>
      <c r="K9" s="15" t="n"/>
      <c r="L9" s="18">
        <f>IF(K9="Yes",A9,L8)</f>
        <v/>
      </c>
    </row>
    <row r="10" ht="22" customHeight="1">
      <c r="A10" s="14" t="n">
        <v>5</v>
      </c>
      <c r="B10" s="9" t="n"/>
      <c r="C10" s="15" t="n"/>
      <c r="D10" s="15" t="n"/>
      <c r="E10" s="9" t="n"/>
      <c r="F10" s="16" t="n"/>
      <c r="G10" s="16" t="n"/>
      <c r="H10" s="17">
        <f>IF(AND(F10="",G10=""),"",SUM(F10:G10))</f>
        <v/>
      </c>
      <c r="I10" s="17">
        <f>IF(H10="","",SUM($H$6:H10))</f>
        <v/>
      </c>
      <c r="J10" s="15" t="n"/>
      <c r="K10" s="15" t="n"/>
      <c r="L10" s="18">
        <f>IF(K10="Yes",A10,L9)</f>
        <v/>
      </c>
    </row>
    <row r="11" ht="22" customHeight="1">
      <c r="A11" s="14" t="n">
        <v>6</v>
      </c>
      <c r="B11" s="9" t="n"/>
      <c r="C11" s="15" t="n"/>
      <c r="D11" s="15" t="n"/>
      <c r="E11" s="9" t="n"/>
      <c r="F11" s="16" t="n"/>
      <c r="G11" s="16" t="n"/>
      <c r="H11" s="17">
        <f>IF(AND(F11="",G11=""),"",SUM(F11:G11))</f>
        <v/>
      </c>
      <c r="I11" s="17">
        <f>IF(H11="","",SUM($H$6:H11))</f>
        <v/>
      </c>
      <c r="J11" s="15" t="n"/>
      <c r="K11" s="15" t="n"/>
      <c r="L11" s="18">
        <f>IF(K11="Yes",A11,L10)</f>
        <v/>
      </c>
    </row>
    <row r="12" ht="22" customHeight="1">
      <c r="A12" s="14" t="n">
        <v>7</v>
      </c>
      <c r="B12" s="9" t="n"/>
      <c r="C12" s="15" t="n"/>
      <c r="D12" s="15" t="n"/>
      <c r="E12" s="9" t="n"/>
      <c r="F12" s="16" t="n"/>
      <c r="G12" s="16" t="n"/>
      <c r="H12" s="17">
        <f>IF(AND(F12="",G12=""),"",SUM(F12:G12))</f>
        <v/>
      </c>
      <c r="I12" s="17">
        <f>IF(H12="","",SUM($H$6:H12))</f>
        <v/>
      </c>
      <c r="J12" s="15" t="n"/>
      <c r="K12" s="15" t="n"/>
      <c r="L12" s="18">
        <f>IF(K12="Yes",A12,L11)</f>
        <v/>
      </c>
    </row>
    <row r="13" ht="22" customHeight="1">
      <c r="A13" s="14" t="n">
        <v>8</v>
      </c>
      <c r="B13" s="9" t="n"/>
      <c r="C13" s="15" t="n"/>
      <c r="D13" s="15" t="n"/>
      <c r="E13" s="9" t="n"/>
      <c r="F13" s="16" t="n"/>
      <c r="G13" s="16" t="n"/>
      <c r="H13" s="17">
        <f>IF(AND(F13="",G13=""),"",SUM(F13:G13))</f>
        <v/>
      </c>
      <c r="I13" s="17">
        <f>IF(H13="","",SUM($H$6:H13))</f>
        <v/>
      </c>
      <c r="J13" s="15" t="n"/>
      <c r="K13" s="15" t="n"/>
      <c r="L13" s="18">
        <f>IF(K13="Yes",A13,L12)</f>
        <v/>
      </c>
    </row>
    <row r="14" ht="22" customHeight="1">
      <c r="A14" s="14" t="n">
        <v>9</v>
      </c>
      <c r="B14" s="9" t="n"/>
      <c r="C14" s="15" t="n"/>
      <c r="D14" s="15" t="n"/>
      <c r="E14" s="9" t="n"/>
      <c r="F14" s="16" t="n"/>
      <c r="G14" s="16" t="n"/>
      <c r="H14" s="17">
        <f>IF(AND(F14="",G14=""),"",SUM(F14:G14))</f>
        <v/>
      </c>
      <c r="I14" s="17">
        <f>IF(H14="","",SUM($H$6:H14))</f>
        <v/>
      </c>
      <c r="J14" s="15" t="n"/>
      <c r="K14" s="15" t="n"/>
      <c r="L14" s="18">
        <f>IF(K14="Yes",A14,L13)</f>
        <v/>
      </c>
    </row>
    <row r="15" ht="22" customHeight="1">
      <c r="A15" s="14" t="n">
        <v>10</v>
      </c>
      <c r="B15" s="9" t="n"/>
      <c r="C15" s="15" t="n"/>
      <c r="D15" s="15" t="n"/>
      <c r="E15" s="9" t="n"/>
      <c r="F15" s="16" t="n"/>
      <c r="G15" s="16" t="n"/>
      <c r="H15" s="17">
        <f>IF(AND(F15="",G15=""),"",SUM(F15:G15))</f>
        <v/>
      </c>
      <c r="I15" s="17">
        <f>IF(H15="","",SUM($H$6:H15))</f>
        <v/>
      </c>
      <c r="J15" s="15" t="n"/>
      <c r="K15" s="15" t="n"/>
      <c r="L15" s="18">
        <f>IF(K15="Yes",A15,L14)</f>
        <v/>
      </c>
    </row>
    <row r="16" ht="22" customHeight="1">
      <c r="A16" s="14" t="n">
        <v>11</v>
      </c>
      <c r="B16" s="9" t="n"/>
      <c r="C16" s="15" t="n"/>
      <c r="D16" s="15" t="n"/>
      <c r="E16" s="9" t="n"/>
      <c r="F16" s="16" t="n"/>
      <c r="G16" s="16" t="n"/>
      <c r="H16" s="17">
        <f>IF(AND(F16="",G16=""),"",SUM(F16:G16))</f>
        <v/>
      </c>
      <c r="I16" s="17">
        <f>IF(H16="","",SUM($H$6:H16))</f>
        <v/>
      </c>
      <c r="J16" s="15" t="n"/>
      <c r="K16" s="15" t="n"/>
      <c r="L16" s="18">
        <f>IF(K16="Yes",A16,L15)</f>
        <v/>
      </c>
    </row>
    <row r="17" ht="22" customHeight="1">
      <c r="A17" s="14" t="n">
        <v>12</v>
      </c>
      <c r="B17" s="9" t="n"/>
      <c r="C17" s="15" t="n"/>
      <c r="D17" s="15" t="n"/>
      <c r="E17" s="9" t="n"/>
      <c r="F17" s="16" t="n"/>
      <c r="G17" s="16" t="n"/>
      <c r="H17" s="17">
        <f>IF(AND(F17="",G17=""),"",SUM(F17:G17))</f>
        <v/>
      </c>
      <c r="I17" s="17">
        <f>IF(H17="","",SUM($H$6:H17))</f>
        <v/>
      </c>
      <c r="J17" s="15" t="n"/>
      <c r="K17" s="15" t="n"/>
      <c r="L17" s="18">
        <f>IF(K17="Yes",A17,L16)</f>
        <v/>
      </c>
    </row>
    <row r="19">
      <c r="A19" s="19" t="inlineStr">
        <is>
          <t>Tokens per clean run</t>
        </is>
      </c>
      <c r="H19" s="20">
        <f>SUM(H6:H17)</f>
        <v/>
      </c>
    </row>
    <row r="20">
      <c r="A20" s="19" t="inlineStr">
        <is>
          <t>Steps with side effects</t>
        </is>
      </c>
      <c r="H20" s="20">
        <f>COUNTIF(E6:E17,"Reversible")+COUNTIF(E6:E17,"Irreversible")</f>
        <v/>
      </c>
    </row>
    <row r="21">
      <c r="A21" s="19" t="inlineStr">
        <is>
          <t>Unsafe steps (a side effect, and not idempotent)</t>
        </is>
      </c>
      <c r="H21" s="20">
        <f>COUNTIFS(E6:E17,"Reversible",J6:J17,"No")+COUNTIFS(E6:E17,"Irreversible",J6:J17,"No")</f>
        <v/>
      </c>
      <c r="I21" s="4" t="inlineStr">
        <is>
          <t>Every one of these can be run twice by a retry.</t>
        </is>
      </c>
    </row>
  </sheetData>
  <sheetProtection selectLockedCells="0" selectUnlockedCells="0" sheet="1" objects="0" insertRows="1" insertHyperlinks="1" autoFilter="1" scenarios="0" formatColumns="1" deleteColumns="1" insertColumns="1" pivotTables="1" deleteRows="1" formatCells="0" formatRows="1" sort="1"/>
  <mergeCells count="3">
    <mergeCell ref="A20:G20"/>
    <mergeCell ref="A19:G19"/>
    <mergeCell ref="A21:G21"/>
  </mergeCells>
  <conditionalFormatting sqref="H21">
    <cfRule type="expression" priority="1" dxfId="0">
      <formula>H21&gt;0</formula>
    </cfRule>
  </conditionalFormatting>
  <dataValidations count="3">
    <dataValidation sqref="C6:D17" showDropDown="0" showInputMessage="0" showErrorMessage="0" allowBlank="1" type="list">
      <formula1>"Yes,No"</formula1>
    </dataValidation>
    <dataValidation sqref="E6:E17" showDropDown="0" showInputMessage="0" showErrorMessage="0" allowBlank="1" type="list">
      <formula1>"None,Reversible,Irreversible"</formula1>
    </dataValidation>
    <dataValidation sqref="J6:K17" showDropDown="0" showInputMessage="0" showErrorMessage="0" allowBlank="1" type="list">
      <formula1>"Yes,No"</formula1>
    </dataValidation>
  </dataValidations>
  <pageMargins left="0.4" right="0.4" top="0.4" bottom="0.4"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K18"/>
  <sheetViews>
    <sheetView workbookViewId="0">
      <pane ySplit="5" topLeftCell="A6" activePane="bottomLeft" state="frozen"/>
      <selection pane="bottomLeft" activeCell="A1" sqref="A1"/>
    </sheetView>
  </sheetViews>
  <sheetFormatPr baseColWidth="8" defaultRowHeight="15"/>
  <cols>
    <col width="8" customWidth="1" min="1" max="1"/>
    <col width="34" customWidth="1" min="2" max="2"/>
    <col width="24" customWidth="1" min="3" max="3"/>
    <col width="14" customWidth="1" min="4" max="4"/>
    <col width="12" customWidth="1" min="5" max="5"/>
    <col width="14" customWidth="1" min="6" max="6"/>
    <col width="26" customWidth="1" min="7" max="7"/>
    <col width="24" customWidth="1" min="8" max="8"/>
    <col width="20" customWidth="1" min="9" max="9"/>
    <col width="18" customWidth="1" min="10" max="10"/>
    <col hidden="1" width="13" customWidth="1" min="11" max="11"/>
  </cols>
  <sheetData>
    <row r="1" ht="28" customHeight="1">
      <c r="A1" s="10" t="inlineStr">
        <is>
          <t>2 · Limits</t>
        </is>
      </c>
    </row>
    <row r="2" ht="18" customHeight="1">
      <c r="A2" s="11" t="inlineStr">
        <is>
          <t>Which limits can refuse the agent, and who shares them?</t>
        </is>
      </c>
    </row>
    <row r="4" ht="42" customHeight="1">
      <c r="A4" s="12" t="inlineStr">
        <is>
          <t>#</t>
        </is>
      </c>
      <c r="B4" s="12" t="inlineStr">
        <is>
          <t>Limit</t>
        </is>
      </c>
      <c r="C4" s="12" t="inlineStr">
        <is>
          <t>Scope</t>
        </is>
      </c>
      <c r="D4" s="12" t="inlineStr">
        <is>
          <t>Value</t>
        </is>
      </c>
      <c r="E4" s="12" t="inlineStr">
        <is>
          <t>Unit</t>
        </is>
      </c>
      <c r="F4" s="12" t="inlineStr">
        <is>
          <t>Window</t>
        </is>
      </c>
      <c r="G4" s="12" t="inlineStr">
        <is>
          <t>Shared with</t>
        </is>
      </c>
      <c r="H4" s="12" t="inlineStr">
        <is>
          <t>Refusal signal</t>
        </is>
      </c>
      <c r="I4" s="12" t="inlineStr">
        <is>
          <t>Current handling</t>
        </is>
      </c>
      <c r="J4" s="12" t="inlineStr">
        <is>
          <t>Owner</t>
        </is>
      </c>
    </row>
    <row r="5" ht="38" customHeight="1">
      <c r="G5" s="13" t="inlineStr">
        <is>
          <t>e.g. "all agents on this API key"</t>
        </is>
      </c>
      <c r="H5" s="13" t="inlineStr">
        <is>
          <t>e.g. "HTTP 429 + Retry-After"</t>
        </is>
      </c>
    </row>
    <row r="6" ht="22" customHeight="1">
      <c r="A6" s="14" t="n">
        <v>1</v>
      </c>
      <c r="B6" s="21" t="inlineStr">
        <is>
          <t>model provider tokens per minute</t>
        </is>
      </c>
      <c r="C6" s="9" t="n"/>
      <c r="D6" s="16" t="n"/>
      <c r="E6" s="15" t="n"/>
      <c r="F6" s="15" t="n"/>
      <c r="G6" s="9" t="n"/>
      <c r="H6" s="9" t="n"/>
      <c r="I6" s="9" t="n"/>
      <c r="J6" s="9" t="n"/>
      <c r="K6" s="18">
        <f>IF(AND(E6="tokens",F6="per minute"),"tpm","")</f>
        <v/>
      </c>
    </row>
    <row r="7" ht="22" customHeight="1">
      <c r="A7" s="14" t="n">
        <v>2</v>
      </c>
      <c r="B7" s="21" t="inlineStr">
        <is>
          <t>model provider requests per minute</t>
        </is>
      </c>
      <c r="C7" s="9" t="n"/>
      <c r="D7" s="16" t="n"/>
      <c r="E7" s="15" t="n"/>
      <c r="F7" s="15" t="n"/>
      <c r="G7" s="9" t="n"/>
      <c r="H7" s="9" t="n"/>
      <c r="I7" s="9" t="n"/>
      <c r="J7" s="9" t="n"/>
      <c r="K7" s="18">
        <f>IF(AND(E7="tokens",F7="per minute"),"tpm","")</f>
        <v/>
      </c>
    </row>
    <row r="8" ht="22" customHeight="1">
      <c r="A8" s="14" t="n">
        <v>3</v>
      </c>
      <c r="B8" s="21" t="inlineStr">
        <is>
          <t>daily or monthly spend cap</t>
        </is>
      </c>
      <c r="C8" s="9" t="n"/>
      <c r="D8" s="16" t="n"/>
      <c r="E8" s="15" t="n"/>
      <c r="F8" s="15" t="n"/>
      <c r="G8" s="9" t="n"/>
      <c r="H8" s="9" t="n"/>
      <c r="I8" s="9" t="n"/>
      <c r="J8" s="9" t="n"/>
      <c r="K8" s="18">
        <f>IF(AND(E8="tokens",F8="per minute"),"tpm","")</f>
        <v/>
      </c>
    </row>
    <row r="9" ht="22" customHeight="1">
      <c r="A9" s="14" t="n">
        <v>4</v>
      </c>
      <c r="B9" s="21" t="inlineStr">
        <is>
          <t>max context window</t>
        </is>
      </c>
      <c r="C9" s="9" t="n"/>
      <c r="D9" s="16" t="n"/>
      <c r="E9" s="15" t="n"/>
      <c r="F9" s="15" t="n"/>
      <c r="G9" s="9" t="n"/>
      <c r="H9" s="9" t="n"/>
      <c r="I9" s="9" t="n"/>
      <c r="J9" s="9" t="n"/>
      <c r="K9" s="18">
        <f>IF(AND(E9="tokens",F9="per minute"),"tpm","")</f>
        <v/>
      </c>
    </row>
    <row r="10" ht="22" customHeight="1">
      <c r="A10" s="14" t="n">
        <v>5</v>
      </c>
      <c r="B10" s="21" t="inlineStr">
        <is>
          <t>downstream API rate limit (e.g. calendar)</t>
        </is>
      </c>
      <c r="C10" s="9" t="n"/>
      <c r="D10" s="16" t="n"/>
      <c r="E10" s="15" t="n"/>
      <c r="F10" s="15" t="n"/>
      <c r="G10" s="9" t="n"/>
      <c r="H10" s="9" t="n"/>
      <c r="I10" s="9" t="n"/>
      <c r="J10" s="9" t="n"/>
      <c r="K10" s="18">
        <f>IF(AND(E10="tokens",F10="per minute"),"tpm","")</f>
        <v/>
      </c>
    </row>
    <row r="11" ht="22" customHeight="1">
      <c r="A11" s="14" t="n">
        <v>6</v>
      </c>
      <c r="B11" s="21" t="inlineStr">
        <is>
          <t>your own per-task budget</t>
        </is>
      </c>
      <c r="C11" s="9" t="n"/>
      <c r="D11" s="16" t="n"/>
      <c r="E11" s="15" t="n"/>
      <c r="F11" s="15" t="n"/>
      <c r="G11" s="9" t="n"/>
      <c r="H11" s="9" t="n"/>
      <c r="I11" s="9" t="n"/>
      <c r="J11" s="9" t="n"/>
      <c r="K11" s="18">
        <f>IF(AND(E11="tokens",F11="per minute"),"tpm","")</f>
        <v/>
      </c>
    </row>
    <row r="12" ht="22" customHeight="1">
      <c r="A12" s="14" t="n">
        <v>7</v>
      </c>
      <c r="B12" s="21" t="inlineStr">
        <is>
          <t>per-user or per-tenant budget</t>
        </is>
      </c>
      <c r="C12" s="9" t="n"/>
      <c r="D12" s="16" t="n"/>
      <c r="E12" s="15" t="n"/>
      <c r="F12" s="15" t="n"/>
      <c r="G12" s="9" t="n"/>
      <c r="H12" s="9" t="n"/>
      <c r="I12" s="9" t="n"/>
      <c r="J12" s="9" t="n"/>
      <c r="K12" s="18">
        <f>IF(AND(E12="tokens",F12="per minute"),"tpm","")</f>
        <v/>
      </c>
    </row>
    <row r="13" ht="22" customHeight="1">
      <c r="A13" s="14" t="n">
        <v>8</v>
      </c>
      <c r="B13" s="9" t="n"/>
      <c r="C13" s="9" t="n"/>
      <c r="D13" s="16" t="n"/>
      <c r="E13" s="15" t="n"/>
      <c r="F13" s="15" t="n"/>
      <c r="G13" s="9" t="n"/>
      <c r="H13" s="9" t="n"/>
      <c r="I13" s="9" t="n"/>
      <c r="J13" s="9" t="n"/>
      <c r="K13" s="18">
        <f>IF(AND(E13="tokens",F13="per minute"),"tpm","")</f>
        <v/>
      </c>
    </row>
    <row r="14" ht="22" customHeight="1">
      <c r="A14" s="14" t="n">
        <v>9</v>
      </c>
      <c r="B14" s="9" t="n"/>
      <c r="C14" s="9" t="n"/>
      <c r="D14" s="16" t="n"/>
      <c r="E14" s="15" t="n"/>
      <c r="F14" s="15" t="n"/>
      <c r="G14" s="9" t="n"/>
      <c r="H14" s="9" t="n"/>
      <c r="I14" s="9" t="n"/>
      <c r="J14" s="9" t="n"/>
      <c r="K14" s="18">
        <f>IF(AND(E14="tokens",F14="per minute"),"tpm","")</f>
        <v/>
      </c>
    </row>
    <row r="15" ht="22" customHeight="1">
      <c r="A15" s="14" t="n">
        <v>10</v>
      </c>
      <c r="B15" s="9" t="n"/>
      <c r="C15" s="9" t="n"/>
      <c r="D15" s="16" t="n"/>
      <c r="E15" s="15" t="n"/>
      <c r="F15" s="15" t="n"/>
      <c r="G15" s="9" t="n"/>
      <c r="H15" s="9" t="n"/>
      <c r="I15" s="9" t="n"/>
      <c r="J15" s="9" t="n"/>
      <c r="K15" s="18">
        <f>IF(AND(E15="tokens",F15="per minute"),"tpm","")</f>
        <v/>
      </c>
    </row>
    <row r="17">
      <c r="A17" s="19" t="inlineStr">
        <is>
          <t>Limits shared across workflows</t>
        </is>
      </c>
      <c r="D17" s="20">
        <f>COUNTIF(C6:C15,"Shared across workflows")</f>
        <v/>
      </c>
      <c r="E17" s="4" t="inlineStr">
        <is>
          <t>One busy workflow can starve every other one on these.</t>
        </is>
      </c>
    </row>
    <row r="18">
      <c r="A18" s="19" t="inlineStr">
        <is>
          <t>Limits retried immediately, or not handled at all</t>
        </is>
      </c>
      <c r="D18" s="20">
        <f>COUNTIF(I6:I15,"Retry immediately")+COUNTIF(I6:I15,"Unknown")</f>
        <v/>
      </c>
      <c r="E18" s="4" t="inlineStr">
        <is>
          <t>An immediate retry is the pattern that amplifies a spike.</t>
        </is>
      </c>
    </row>
  </sheetData>
  <sheetProtection selectLockedCells="0" selectUnlockedCells="0" sheet="1" objects="0" insertRows="1" insertHyperlinks="1" autoFilter="1" scenarios="0" formatColumns="1" deleteColumns="1" insertColumns="1" pivotTables="1" deleteRows="1" formatCells="0" formatRows="1" sort="1"/>
  <mergeCells count="2">
    <mergeCell ref="A17:C17"/>
    <mergeCell ref="A18:C18"/>
  </mergeCells>
  <conditionalFormatting sqref="D18">
    <cfRule type="expression" priority="1" dxfId="0">
      <formula>D18&gt;0</formula>
    </cfRule>
  </conditionalFormatting>
  <dataValidations count="4">
    <dataValidation sqref="C6:C15" showDropDown="0" showInputMessage="0" showErrorMessage="0" allowBlank="1" type="list">
      <formula1>"Per call,Per task,Per user,Per tenant,Shared across workflows"</formula1>
    </dataValidation>
    <dataValidation sqref="E6:E15" showDropDown="0" showInputMessage="0" showErrorMessage="0" allowBlank="1" type="list">
      <formula1>"tokens,requests,currency"</formula1>
    </dataValidation>
    <dataValidation sqref="F6:F15" showDropDown="0" showInputMessage="0" showErrorMessage="0" allowBlank="1" type="list">
      <formula1>"per minute,per hour,per day,per month,per request"</formula1>
    </dataValidation>
    <dataValidation sqref="I6:I15" showDropDown="0" showInputMessage="0" showErrorMessage="0" allowBlank="1" type="list">
      <formula1>"Retry immediately,Retry with backoff,Fail task,Queue,Degrade,Unknown"</formula1>
    </dataValidation>
  </dataValidations>
  <pageMargins left="0.4" right="0.4" top="0.4" bottom="0.4" header="0.5" footer="0.5"/>
  <pageSetup orientation="landscape" paperSize="9" fitToHeight="1" fitToWidth="1"/>
</worksheet>
</file>

<file path=xl/worksheets/sheet4.xml><?xml version="1.0" encoding="utf-8"?>
<worksheet xmlns="http://schemas.openxmlformats.org/spreadsheetml/2006/main">
  <sheetPr>
    <outlinePr summaryBelow="1" summaryRight="1"/>
    <pageSetUpPr fitToPage="1"/>
  </sheetPr>
  <dimension ref="A1:N28"/>
  <sheetViews>
    <sheetView showGridLines="0" workbookViewId="0">
      <selection activeCell="A1" sqref="A1"/>
    </sheetView>
  </sheetViews>
  <sheetFormatPr baseColWidth="8" defaultRowHeight="15"/>
  <cols>
    <col width="26" customWidth="1" min="1" max="1"/>
    <col width="13" customWidth="1" min="2" max="2"/>
    <col width="11" customWidth="1" min="3" max="3"/>
    <col width="18" customWidth="1" min="4" max="4"/>
    <col width="24" customWidth="1" min="5" max="5"/>
    <col width="20" customWidth="1" min="6" max="6"/>
    <col width="18" customWidth="1" min="7" max="7"/>
    <col width="16" customWidth="1" min="8" max="8"/>
    <col hidden="1" width="13" customWidth="1" min="14" max="14"/>
  </cols>
  <sheetData>
    <row r="1" ht="28" customHeight="1">
      <c r="A1" s="10" t="inlineStr">
        <is>
          <t>3 · Retry Amplifier</t>
        </is>
      </c>
    </row>
    <row r="2" ht="18" customHeight="1">
      <c r="A2" s="11" t="inlineStr">
        <is>
          <t>How far can retries amplify spend at peak?</t>
        </is>
      </c>
    </row>
    <row r="4">
      <c r="A4" s="22" t="inlineStr">
        <is>
          <t>Inputs</t>
        </is>
      </c>
    </row>
    <row r="5" ht="24" customHeight="1">
      <c r="A5" s="23" t="inlineStr">
        <is>
          <t>Tokens per clean run</t>
        </is>
      </c>
      <c r="D5" s="16">
        <f>'1 · Workflow Map'!H19</f>
        <v/>
      </c>
      <c r="E5" s="24" t="inlineStr">
        <is>
          <t>Linked from the workflow map. Type over it to model a different run.</t>
        </is>
      </c>
      <c r="N5" s="18">
        <f>AND(D5&lt;&gt;"",D6&lt;&gt;"",D7&lt;&gt;"",D8&lt;&gt;"")</f>
        <v/>
      </c>
    </row>
    <row r="6" ht="24" customHeight="1">
      <c r="A6" s="23" t="inlineStr">
        <is>
          <t>Step most likely to be refused (step #)</t>
        </is>
      </c>
      <c r="D6" s="25" t="n"/>
      <c r="N6" s="18">
        <f>IF(N5,IF(D6&lt;=1,0,INDEX('1 · Workflow Map'!I6:I17,D6-1)),"")</f>
        <v/>
      </c>
    </row>
    <row r="7" ht="24" customHeight="1">
      <c r="A7" s="23" t="inlineStr">
        <is>
          <t>Retry scope</t>
        </is>
      </c>
      <c r="D7" s="9" t="n"/>
      <c r="E7" s="24" t="inlineStr">
        <is>
          <t>What a retry re-runs: the whole task, everything since the last checkpoint, or only the refused call.</t>
        </is>
      </c>
      <c r="N7" s="18">
        <f>IF(N5,IF(D6&lt;=1,0,INDEX('1 · Workflow Map'!L6:L17,D6-1)),"")</f>
        <v/>
      </c>
    </row>
    <row r="8" ht="24" customHeight="1">
      <c r="A8" s="23" t="inlineStr">
        <is>
          <t>Max retries per task</t>
        </is>
      </c>
      <c r="D8" s="25" t="n"/>
      <c r="N8" s="18">
        <f>IF(N5,IF(D6&lt;=1,0,IF(N7=0,N6,N6-INDEX('1 · Workflow Map'!I6:I17,N7))),"")</f>
        <v/>
      </c>
    </row>
    <row r="9" ht="24" customHeight="1">
      <c r="A9" s="23" t="inlineStr">
        <is>
          <t>Refused calls count against quota?</t>
        </is>
      </c>
      <c r="D9" s="15" t="inlineStr">
        <is>
          <t>No</t>
        </is>
      </c>
      <c r="E9" s="24" t="inlineStr">
        <is>
          <t>Most providers don't bill rejected calls. Check yours.</t>
        </is>
      </c>
    </row>
    <row r="10" ht="24" customHeight="1">
      <c r="A10" s="23" t="inlineStr">
        <is>
          <t>Peak tasks started per minute</t>
        </is>
      </c>
      <c r="D10" s="25" t="n"/>
    </row>
    <row r="11" ht="24" customHeight="1">
      <c r="A11" s="23" t="inlineStr">
        <is>
          <t>Token-per-minute limit for the shared quota</t>
        </is>
      </c>
      <c r="D11" s="16">
        <f>IFERROR(INDEX('2 · Limits'!D6:D15,MATCH("tpm",'2 · Limits'!K6:K15,0)),"")</f>
        <v/>
      </c>
      <c r="E11" s="24" t="inlineStr">
        <is>
          <t>Linked from the first limit row with unit tokens and window per minute. Type over it if that is not the one.</t>
        </is>
      </c>
    </row>
    <row r="13">
      <c r="A13" s="22" t="inlineStr">
        <is>
          <t>What retries cost</t>
        </is>
      </c>
    </row>
    <row r="14" ht="24" customHeight="1">
      <c r="A14" s="23" t="inlineStr">
        <is>
          <t>Tokens repeated per failed attempt</t>
        </is>
      </c>
      <c r="D14" s="26">
        <f>IF(N5,IFERROR(IF(D7="Retry the call only",0,IF(D7="Restart task",N6,IF(D7="Resume from last checkpoint",N8,"")))+IF(D9="Yes",INDEX('1 · Workflow Map'!F6:F17,D6),0),""),"")</f>
        <v/>
      </c>
      <c r="E14" s="24" t="inlineStr">
        <is>
          <t>Work already paid for that a retry pays for again.</t>
        </is>
      </c>
    </row>
    <row r="15" ht="24" customHeight="1">
      <c r="A15" s="23" t="inlineStr">
        <is>
          <t>Worst case, eventually succeeds</t>
        </is>
      </c>
      <c r="D15" s="26">
        <f>IF(D14="","",D8*D14+D5)</f>
        <v/>
      </c>
    </row>
    <row r="16" ht="24" customHeight="1">
      <c r="A16" s="23" t="inlineStr">
        <is>
          <t>Worst case, gives up</t>
        </is>
      </c>
      <c r="D16" s="26">
        <f>IF(D14="","",(D8+1)*D14)</f>
        <v/>
      </c>
      <c r="E16" s="24" t="inlineStr">
        <is>
          <t>Spent with nothing booked.</t>
        </is>
      </c>
    </row>
    <row r="17" ht="24" customHeight="1">
      <c r="A17" s="23" t="inlineStr">
        <is>
          <t>Amplification factor</t>
        </is>
      </c>
      <c r="D17" s="27">
        <f>IF(D15="","",IFERROR(ROUND(D15/D5,2),""))</f>
        <v/>
      </c>
      <c r="E17" s="24" t="inlineStr">
        <is>
          <t>Worst case that succeeds, over one clean run.</t>
        </is>
      </c>
    </row>
    <row r="19">
      <c r="A19" s="22" t="inlineStr">
        <is>
          <t>At peak</t>
        </is>
      </c>
    </row>
    <row r="20" ht="24" customHeight="1">
      <c r="A20" s="23" t="inlineStr">
        <is>
          <t>Peak demand, normal</t>
        </is>
      </c>
      <c r="D20" s="26">
        <f>IF(OR(D10="",D5=""),"",D10*D5)</f>
        <v/>
      </c>
      <c r="E20" s="24" t="inlineStr">
        <is>
          <t>Tokens per minute if nothing is refused.</t>
        </is>
      </c>
    </row>
    <row r="21" ht="24" customHeight="1">
      <c r="A21" s="23" t="inlineStr">
        <is>
          <t>Peak demand, worst case</t>
        </is>
      </c>
      <c r="D21" s="26">
        <f>IF(OR(D10="",D15=""),"",D10*D15)</f>
        <v/>
      </c>
      <c r="E21" s="24" t="inlineStr">
        <is>
          <t>Tokens per minute if every task is refused at that step.</t>
        </is>
      </c>
    </row>
    <row r="22" ht="24" customHeight="1">
      <c r="A22" s="23" t="inlineStr">
        <is>
          <t>Quota used, normal</t>
        </is>
      </c>
      <c r="D22" s="28">
        <f>IF(OR(D20="",D11="",D11=0),"",IFERROR(D20/D11,""))</f>
        <v/>
      </c>
      <c r="E22" s="24">
        <f>IF(D22="","",IF(D22&lt;=0.8,"Fits with headroom",IF(D22&lt;=1,"Tight: any spike tips it over","Retries alone can exhaust the quota")))</f>
        <v/>
      </c>
    </row>
    <row r="23" ht="24" customHeight="1">
      <c r="A23" s="23" t="inlineStr">
        <is>
          <t>Quota used, worst case</t>
        </is>
      </c>
      <c r="D23" s="28">
        <f>IF(OR(D21="",D11="",D11=0),"",IFERROR(D21/D11,""))</f>
        <v/>
      </c>
    </row>
    <row r="25" ht="30" customHeight="1">
      <c r="A25" s="29" t="inlineStr">
        <is>
          <t>Verdict</t>
        </is>
      </c>
      <c r="B25" s="30" t="n"/>
      <c r="C25" s="30" t="n"/>
      <c r="D25" s="31">
        <f>IF(D23="","",IF(D23&lt;=0.8,"Fits with headroom",IF(D23&lt;=1,"Tight: any spike tips it over","Retries alone can exhaust the quota")))</f>
        <v/>
      </c>
      <c r="E25" s="30" t="n"/>
      <c r="F25" s="30" t="n"/>
      <c r="G25" s="30" t="n"/>
      <c r="H25" s="30" t="n"/>
    </row>
    <row r="27" ht="16" customHeight="1">
      <c r="A27" s="13" t="inlineStr">
        <is>
          <t>This is a planning bound, not a forecast. It assumes every task hits the limit at the same step. Real traffic is messier; use it to see whether your retry design can take the whole system down.</t>
        </is>
      </c>
    </row>
    <row r="28" ht="16" customHeight="1"/>
  </sheetData>
  <sheetProtection selectLockedCells="0" selectUnlockedCells="0" sheet="1" objects="0" insertRows="1" insertHyperlinks="1" autoFilter="1" scenarios="0" formatColumns="1" deleteColumns="1" insertColumns="1" pivotTables="1" deleteRows="1" formatCells="0" formatRows="1" sort="1"/>
  <mergeCells count="28">
    <mergeCell ref="A25:C25"/>
    <mergeCell ref="E16:H16"/>
    <mergeCell ref="E7:H7"/>
    <mergeCell ref="A21:C21"/>
    <mergeCell ref="E11:H11"/>
    <mergeCell ref="E22:H22"/>
    <mergeCell ref="A27:H28"/>
    <mergeCell ref="A5:C5"/>
    <mergeCell ref="A23:C23"/>
    <mergeCell ref="A8:C8"/>
    <mergeCell ref="A14:C14"/>
    <mergeCell ref="A22:C22"/>
    <mergeCell ref="A17:C17"/>
    <mergeCell ref="E21:H21"/>
    <mergeCell ref="A20:C20"/>
    <mergeCell ref="E5:H5"/>
    <mergeCell ref="A10:C10"/>
    <mergeCell ref="E14:H14"/>
    <mergeCell ref="E17:H17"/>
    <mergeCell ref="E20:H20"/>
    <mergeCell ref="A9:C9"/>
    <mergeCell ref="A15:C15"/>
    <mergeCell ref="D25:H25"/>
    <mergeCell ref="E9:H9"/>
    <mergeCell ref="A11:C11"/>
    <mergeCell ref="A6:C6"/>
    <mergeCell ref="A7:C7"/>
    <mergeCell ref="A16:C16"/>
  </mergeCells>
  <conditionalFormatting sqref="A25:H25">
    <cfRule type="expression" priority="1" dxfId="1">
      <formula>$D$25="Fits with headroom"</formula>
    </cfRule>
    <cfRule type="expression" priority="2" dxfId="2">
      <formula>$D$25="Tight: any spike tips it over"</formula>
    </cfRule>
    <cfRule type="expression" priority="3" dxfId="3">
      <formula>$D$25="Retries alone can exhaust the quota"</formula>
    </cfRule>
  </conditionalFormatting>
  <dataValidations count="2">
    <dataValidation sqref="D7" showDropDown="0" showInputMessage="0" showErrorMessage="0" allowBlank="1" type="list">
      <formula1>"Restart task,Resume from last checkpoint,Retry the call only"</formula1>
    </dataValidation>
    <dataValidation sqref="D9" showDropDown="0" showInputMessage="0" showErrorMessage="0" allowBlank="1" type="list">
      <formula1>"Yes,No"</formula1>
    </dataValidation>
  </dataValidations>
  <pageMargins left="0.4" right="0.4" top="0.4" bottom="0.4" header="0.5" footer="0.5"/>
  <pageSetup orientation="landscape" paperSize="9" fitToHeight="1" fitToWidth="1"/>
</worksheet>
</file>

<file path=xl/worksheets/sheet5.xml><?xml version="1.0" encoding="utf-8"?>
<worksheet xmlns="http://schemas.openxmlformats.org/spreadsheetml/2006/main">
  <sheetPr>
    <outlinePr summaryBelow="1" summaryRight="1"/>
    <pageSetUpPr fitToPage="1"/>
  </sheetPr>
  <dimension ref="A1:O19"/>
  <sheetViews>
    <sheetView workbookViewId="0">
      <pane ySplit="5" topLeftCell="A6" activePane="bottomLeft" state="frozen"/>
      <selection pane="bottomLeft" activeCell="A1" sqref="A1"/>
    </sheetView>
  </sheetViews>
  <sheetFormatPr baseColWidth="8" defaultRowHeight="15"/>
  <cols>
    <col width="8" customWidth="1" min="1" max="1"/>
    <col width="26" customWidth="1" min="2" max="2"/>
    <col width="14" customWidth="1" min="3" max="3"/>
    <col width="34" customWidth="1" min="4" max="4"/>
    <col width="28" customWidth="1" min="5" max="5"/>
    <col width="32" customWidth="1" min="6" max="6"/>
    <col width="16" customWidth="1" min="7" max="7"/>
    <col width="20" customWidth="1" min="8" max="8"/>
    <col width="18" customWidth="1" min="9" max="9"/>
    <col width="12" customWidth="1" min="10" max="10"/>
    <col hidden="1" width="13" customWidth="1" min="15" max="15"/>
  </cols>
  <sheetData>
    <row r="1" ht="28" customHeight="1">
      <c r="A1" s="10" t="inlineStr">
        <is>
          <t>4 · Stop States</t>
        </is>
      </c>
    </row>
    <row r="2" ht="18" customHeight="1">
      <c r="A2" s="11" t="inlineStr">
        <is>
          <t>If the agent stops at each step, what's left behind and who cleans it up?</t>
        </is>
      </c>
    </row>
    <row r="4" ht="42" customHeight="1">
      <c r="A4" s="12" t="inlineStr">
        <is>
          <t>Step #</t>
        </is>
      </c>
      <c r="B4" s="12" t="inlineStr">
        <is>
          <t>Step</t>
        </is>
      </c>
      <c r="C4" s="12" t="inlineStr">
        <is>
          <t>Side effect</t>
        </is>
      </c>
      <c r="D4" s="12" t="inlineStr">
        <is>
          <t>State left if the agent stops right after this step</t>
        </is>
      </c>
      <c r="E4" s="12" t="inlineStr">
        <is>
          <t>What the user sees</t>
        </is>
      </c>
      <c r="F4" s="12" t="inlineStr">
        <is>
          <t>Clean-up action</t>
        </is>
      </c>
      <c r="G4" s="12" t="inlineStr">
        <is>
          <t>Automatic or manual?</t>
        </is>
      </c>
      <c r="H4" s="12" t="inlineStr">
        <is>
          <t>Clean-up owner</t>
        </is>
      </c>
      <c r="I4" s="12" t="inlineStr">
        <is>
          <t>Can the task resume from here?</t>
        </is>
      </c>
      <c r="J4" s="12" t="inlineStr">
        <is>
          <t>Stop cost</t>
        </is>
      </c>
    </row>
    <row r="5" ht="38" customHeight="1">
      <c r="D5" s="13" t="inlineStr">
        <is>
          <t>e.g. "Room held, no invites sent"</t>
        </is>
      </c>
      <c r="F5" s="13" t="inlineStr">
        <is>
          <t>e.g. "Release room hold after 15 min"</t>
        </is>
      </c>
    </row>
    <row r="6" ht="30" customHeight="1">
      <c r="A6" s="14" t="n">
        <v>1</v>
      </c>
      <c r="B6" s="32">
        <f>IF('1 · Workflow Map'!B6="","",'1 · Workflow Map'!B6)</f>
        <v/>
      </c>
      <c r="C6" s="32">
        <f>IF('1 · Workflow Map'!E6="","",'1 · Workflow Map'!E6)</f>
        <v/>
      </c>
      <c r="D6" s="33" t="n"/>
      <c r="E6" s="33" t="n"/>
      <c r="F6" s="33" t="n"/>
      <c r="G6" s="15" t="n"/>
      <c r="H6" s="33" t="n"/>
      <c r="I6" s="15" t="n"/>
      <c r="J6" s="15" t="n"/>
      <c r="O6" s="18">
        <f>IF(OR(C6="Reversible",C6="Irreversible"),IF(OR(F6="",H6=""),1,0),0)</f>
        <v/>
      </c>
    </row>
    <row r="7" ht="30" customHeight="1">
      <c r="A7" s="14" t="n">
        <v>2</v>
      </c>
      <c r="B7" s="32">
        <f>IF('1 · Workflow Map'!B7="","",'1 · Workflow Map'!B7)</f>
        <v/>
      </c>
      <c r="C7" s="32">
        <f>IF('1 · Workflow Map'!E7="","",'1 · Workflow Map'!E7)</f>
        <v/>
      </c>
      <c r="D7" s="33" t="n"/>
      <c r="E7" s="33" t="n"/>
      <c r="F7" s="33" t="n"/>
      <c r="G7" s="15" t="n"/>
      <c r="H7" s="33" t="n"/>
      <c r="I7" s="15" t="n"/>
      <c r="J7" s="15" t="n"/>
      <c r="O7" s="18">
        <f>IF(OR(C7="Reversible",C7="Irreversible"),IF(OR(F7="",H7=""),1,0),0)</f>
        <v/>
      </c>
    </row>
    <row r="8" ht="30" customHeight="1">
      <c r="A8" s="14" t="n">
        <v>3</v>
      </c>
      <c r="B8" s="32">
        <f>IF('1 · Workflow Map'!B8="","",'1 · Workflow Map'!B8)</f>
        <v/>
      </c>
      <c r="C8" s="32">
        <f>IF('1 · Workflow Map'!E8="","",'1 · Workflow Map'!E8)</f>
        <v/>
      </c>
      <c r="D8" s="33" t="n"/>
      <c r="E8" s="33" t="n"/>
      <c r="F8" s="33" t="n"/>
      <c r="G8" s="15" t="n"/>
      <c r="H8" s="33" t="n"/>
      <c r="I8" s="15" t="n"/>
      <c r="J8" s="15" t="n"/>
      <c r="O8" s="18">
        <f>IF(OR(C8="Reversible",C8="Irreversible"),IF(OR(F8="",H8=""),1,0),0)</f>
        <v/>
      </c>
    </row>
    <row r="9" ht="30" customHeight="1">
      <c r="A9" s="14" t="n">
        <v>4</v>
      </c>
      <c r="B9" s="32">
        <f>IF('1 · Workflow Map'!B9="","",'1 · Workflow Map'!B9)</f>
        <v/>
      </c>
      <c r="C9" s="32">
        <f>IF('1 · Workflow Map'!E9="","",'1 · Workflow Map'!E9)</f>
        <v/>
      </c>
      <c r="D9" s="33" t="n"/>
      <c r="E9" s="33" t="n"/>
      <c r="F9" s="33" t="n"/>
      <c r="G9" s="15" t="n"/>
      <c r="H9" s="33" t="n"/>
      <c r="I9" s="15" t="n"/>
      <c r="J9" s="15" t="n"/>
      <c r="O9" s="18">
        <f>IF(OR(C9="Reversible",C9="Irreversible"),IF(OR(F9="",H9=""),1,0),0)</f>
        <v/>
      </c>
    </row>
    <row r="10" ht="30" customHeight="1">
      <c r="A10" s="14" t="n">
        <v>5</v>
      </c>
      <c r="B10" s="32">
        <f>IF('1 · Workflow Map'!B10="","",'1 · Workflow Map'!B10)</f>
        <v/>
      </c>
      <c r="C10" s="32">
        <f>IF('1 · Workflow Map'!E10="","",'1 · Workflow Map'!E10)</f>
        <v/>
      </c>
      <c r="D10" s="33" t="n"/>
      <c r="E10" s="33" t="n"/>
      <c r="F10" s="33" t="n"/>
      <c r="G10" s="15" t="n"/>
      <c r="H10" s="33" t="n"/>
      <c r="I10" s="15" t="n"/>
      <c r="J10" s="15" t="n"/>
      <c r="O10" s="18">
        <f>IF(OR(C10="Reversible",C10="Irreversible"),IF(OR(F10="",H10=""),1,0),0)</f>
        <v/>
      </c>
    </row>
    <row r="11" ht="30" customHeight="1">
      <c r="A11" s="14" t="n">
        <v>6</v>
      </c>
      <c r="B11" s="32">
        <f>IF('1 · Workflow Map'!B11="","",'1 · Workflow Map'!B11)</f>
        <v/>
      </c>
      <c r="C11" s="32">
        <f>IF('1 · Workflow Map'!E11="","",'1 · Workflow Map'!E11)</f>
        <v/>
      </c>
      <c r="D11" s="33" t="n"/>
      <c r="E11" s="33" t="n"/>
      <c r="F11" s="33" t="n"/>
      <c r="G11" s="15" t="n"/>
      <c r="H11" s="33" t="n"/>
      <c r="I11" s="15" t="n"/>
      <c r="J11" s="15" t="n"/>
      <c r="O11" s="18">
        <f>IF(OR(C11="Reversible",C11="Irreversible"),IF(OR(F11="",H11=""),1,0),0)</f>
        <v/>
      </c>
    </row>
    <row r="12" ht="30" customHeight="1">
      <c r="A12" s="14" t="n">
        <v>7</v>
      </c>
      <c r="B12" s="32">
        <f>IF('1 · Workflow Map'!B12="","",'1 · Workflow Map'!B12)</f>
        <v/>
      </c>
      <c r="C12" s="32">
        <f>IF('1 · Workflow Map'!E12="","",'1 · Workflow Map'!E12)</f>
        <v/>
      </c>
      <c r="D12" s="33" t="n"/>
      <c r="E12" s="33" t="n"/>
      <c r="F12" s="33" t="n"/>
      <c r="G12" s="15" t="n"/>
      <c r="H12" s="33" t="n"/>
      <c r="I12" s="15" t="n"/>
      <c r="J12" s="15" t="n"/>
      <c r="O12" s="18">
        <f>IF(OR(C12="Reversible",C12="Irreversible"),IF(OR(F12="",H12=""),1,0),0)</f>
        <v/>
      </c>
    </row>
    <row r="13" ht="30" customHeight="1">
      <c r="A13" s="14" t="n">
        <v>8</v>
      </c>
      <c r="B13" s="32">
        <f>IF('1 · Workflow Map'!B13="","",'1 · Workflow Map'!B13)</f>
        <v/>
      </c>
      <c r="C13" s="32">
        <f>IF('1 · Workflow Map'!E13="","",'1 · Workflow Map'!E13)</f>
        <v/>
      </c>
      <c r="D13" s="33" t="n"/>
      <c r="E13" s="33" t="n"/>
      <c r="F13" s="33" t="n"/>
      <c r="G13" s="15" t="n"/>
      <c r="H13" s="33" t="n"/>
      <c r="I13" s="15" t="n"/>
      <c r="J13" s="15" t="n"/>
      <c r="O13" s="18">
        <f>IF(OR(C13="Reversible",C13="Irreversible"),IF(OR(F13="",H13=""),1,0),0)</f>
        <v/>
      </c>
    </row>
    <row r="14" ht="30" customHeight="1">
      <c r="A14" s="14" t="n">
        <v>9</v>
      </c>
      <c r="B14" s="32">
        <f>IF('1 · Workflow Map'!B14="","",'1 · Workflow Map'!B14)</f>
        <v/>
      </c>
      <c r="C14" s="32">
        <f>IF('1 · Workflow Map'!E14="","",'1 · Workflow Map'!E14)</f>
        <v/>
      </c>
      <c r="D14" s="33" t="n"/>
      <c r="E14" s="33" t="n"/>
      <c r="F14" s="33" t="n"/>
      <c r="G14" s="15" t="n"/>
      <c r="H14" s="33" t="n"/>
      <c r="I14" s="15" t="n"/>
      <c r="J14" s="15" t="n"/>
      <c r="O14" s="18">
        <f>IF(OR(C14="Reversible",C14="Irreversible"),IF(OR(F14="",H14=""),1,0),0)</f>
        <v/>
      </c>
    </row>
    <row r="15" ht="30" customHeight="1">
      <c r="A15" s="14" t="n">
        <v>10</v>
      </c>
      <c r="B15" s="32">
        <f>IF('1 · Workflow Map'!B15="","",'1 · Workflow Map'!B15)</f>
        <v/>
      </c>
      <c r="C15" s="32">
        <f>IF('1 · Workflow Map'!E15="","",'1 · Workflow Map'!E15)</f>
        <v/>
      </c>
      <c r="D15" s="33" t="n"/>
      <c r="E15" s="33" t="n"/>
      <c r="F15" s="33" t="n"/>
      <c r="G15" s="15" t="n"/>
      <c r="H15" s="33" t="n"/>
      <c r="I15" s="15" t="n"/>
      <c r="J15" s="15" t="n"/>
      <c r="O15" s="18">
        <f>IF(OR(C15="Reversible",C15="Irreversible"),IF(OR(F15="",H15=""),1,0),0)</f>
        <v/>
      </c>
    </row>
    <row r="16" ht="30" customHeight="1">
      <c r="A16" s="14" t="n">
        <v>11</v>
      </c>
      <c r="B16" s="32">
        <f>IF('1 · Workflow Map'!B16="","",'1 · Workflow Map'!B16)</f>
        <v/>
      </c>
      <c r="C16" s="32">
        <f>IF('1 · Workflow Map'!E16="","",'1 · Workflow Map'!E16)</f>
        <v/>
      </c>
      <c r="D16" s="33" t="n"/>
      <c r="E16" s="33" t="n"/>
      <c r="F16" s="33" t="n"/>
      <c r="G16" s="15" t="n"/>
      <c r="H16" s="33" t="n"/>
      <c r="I16" s="15" t="n"/>
      <c r="J16" s="15" t="n"/>
      <c r="O16" s="18">
        <f>IF(OR(C16="Reversible",C16="Irreversible"),IF(OR(F16="",H16=""),1,0),0)</f>
        <v/>
      </c>
    </row>
    <row r="17" ht="30" customHeight="1">
      <c r="A17" s="14" t="n">
        <v>12</v>
      </c>
      <c r="B17" s="32">
        <f>IF('1 · Workflow Map'!B17="","",'1 · Workflow Map'!B17)</f>
        <v/>
      </c>
      <c r="C17" s="32">
        <f>IF('1 · Workflow Map'!E17="","",'1 · Workflow Map'!E17)</f>
        <v/>
      </c>
      <c r="D17" s="33" t="n"/>
      <c r="E17" s="33" t="n"/>
      <c r="F17" s="33" t="n"/>
      <c r="G17" s="15" t="n"/>
      <c r="H17" s="33" t="n"/>
      <c r="I17" s="15" t="n"/>
      <c r="J17" s="15" t="n"/>
      <c r="O17" s="18">
        <f>IF(OR(C17="Reversible",C17="Irreversible"),IF(OR(F17="",H17=""),1,0),0)</f>
        <v/>
      </c>
    </row>
    <row r="19">
      <c r="A19" s="19" t="inlineStr">
        <is>
          <t>Stop states with no clean-up plan</t>
        </is>
      </c>
      <c r="F19" s="20">
        <f>SUM(O6:O17)</f>
        <v/>
      </c>
      <c r="G19" s="4" t="inlineStr">
        <is>
          <t>A step with a side effect, and no clean-up action or no owner.</t>
        </is>
      </c>
    </row>
  </sheetData>
  <sheetProtection selectLockedCells="0" selectUnlockedCells="0" sheet="1" objects="0" insertRows="1" insertHyperlinks="1" autoFilter="1" scenarios="0" formatColumns="1" deleteColumns="1" insertColumns="1" pivotTables="1" deleteRows="1" formatCells="0" formatRows="1" sort="1"/>
  <mergeCells count="1">
    <mergeCell ref="A19:E19"/>
  </mergeCells>
  <conditionalFormatting sqref="A6:J17">
    <cfRule type="expression" priority="1" dxfId="4">
      <formula>OR($C6="None",$C6="")</formula>
    </cfRule>
  </conditionalFormatting>
  <conditionalFormatting sqref="F19">
    <cfRule type="expression" priority="2" dxfId="0">
      <formula>F19&gt;0</formula>
    </cfRule>
  </conditionalFormatting>
  <dataValidations count="3">
    <dataValidation sqref="G6:G17" showDropDown="0" showInputMessage="0" showErrorMessage="0" allowBlank="1" type="list">
      <formula1>"Automatic,Manual"</formula1>
    </dataValidation>
    <dataValidation sqref="I6:I17" showDropDown="0" showInputMessage="0" showErrorMessage="0" allowBlank="1" type="list">
      <formula1>"Yes,No"</formula1>
    </dataValidation>
    <dataValidation sqref="J6:J17" showDropDown="0" showInputMessage="0" showErrorMessage="0" allowBlank="1" type="list">
      <formula1>"Low,Medium,High"</formula1>
    </dataValidation>
  </dataValidations>
  <pageMargins left="0.4" right="0.4" top="0.4" bottom="0.4" header="0.5" footer="0.5"/>
  <pageSetup orientation="landscape" paperSize="9" fitToHeight="1" fitToWidth="1"/>
</worksheet>
</file>

<file path=xl/worksheets/sheet6.xml><?xml version="1.0" encoding="utf-8"?>
<worksheet xmlns="http://schemas.openxmlformats.org/spreadsheetml/2006/main">
  <sheetPr>
    <outlinePr summaryBelow="1" summaryRight="1"/>
    <pageSetUpPr fitToPage="1"/>
  </sheetPr>
  <dimension ref="A1:Q30"/>
  <sheetViews>
    <sheetView showGridLines="0" workbookViewId="0">
      <pane ySplit="5" topLeftCell="A6" activePane="bottomLeft" state="frozen"/>
      <selection pane="bottomLeft" activeCell="A1" sqref="A1"/>
    </sheetView>
  </sheetViews>
  <sheetFormatPr baseColWidth="8" defaultRowHeight="15"/>
  <cols>
    <col width="8" customWidth="1" min="1" max="1"/>
    <col width="62" customWidth="1" min="2" max="2"/>
    <col width="14" customWidth="1" min="3" max="3"/>
    <col width="10" customWidth="1" min="4" max="4"/>
    <col width="40" customWidth="1" min="5" max="5"/>
    <col hidden="1" width="13" customWidth="1" min="16" max="16"/>
    <col hidden="1" width="13" customWidth="1" min="17" max="17"/>
  </cols>
  <sheetData>
    <row r="1" ht="28" customHeight="1">
      <c r="A1" s="10" t="inlineStr">
        <is>
          <t>5 · Decision</t>
        </is>
      </c>
    </row>
    <row r="2" ht="18" customHeight="1">
      <c r="A2" s="11" t="inlineStr">
        <is>
          <t>Is the limit policy good enough to scale?</t>
        </is>
      </c>
    </row>
    <row r="4" ht="42" customHeight="1">
      <c r="A4" s="12" t="inlineStr">
        <is>
          <t>#</t>
        </is>
      </c>
      <c r="B4" s="12" t="inlineStr">
        <is>
          <t>Check</t>
        </is>
      </c>
      <c r="C4" s="12" t="inlineStr">
        <is>
          <t>Answer</t>
        </is>
      </c>
      <c r="D4" s="12" t="inlineStr">
        <is>
          <t>Points</t>
        </is>
      </c>
      <c r="E4" s="12" t="inlineStr">
        <is>
          <t>From your own sheet</t>
        </is>
      </c>
    </row>
    <row r="5" ht="38" customHeight="1">
      <c r="B5" s="13" t="inlineStr">
        <is>
          <t>★ marks a critical check. One No on a critical check is a Hold, whatever the score.</t>
        </is>
      </c>
      <c r="D5" s="13" t="inlineStr">
        <is>
          <t>Yes 2 · Partial 1 · No 0</t>
        </is>
      </c>
    </row>
    <row r="6" ht="30" customHeight="1">
      <c r="A6" s="34" t="inlineStr">
        <is>
          <t>01</t>
        </is>
      </c>
      <c r="B6" s="23" t="inlineStr">
        <is>
          <t>Every limit that can refuse the agent is listed, with its scope and owner.</t>
        </is>
      </c>
      <c r="C6" s="15" t="n"/>
      <c r="D6" s="14">
        <f>IF(C6="","",IF(C6="Yes",2,IF(C6="Partial",1,IF(C6="No",0,""))))</f>
        <v/>
      </c>
      <c r="P6" s="18" t="n">
        <v>0</v>
      </c>
      <c r="Q6" s="18">
        <f>IF(AND(P6=1,C6="No"),1,0)</f>
        <v/>
      </c>
    </row>
    <row r="7" ht="30" customHeight="1">
      <c r="A7" s="34" t="inlineStr">
        <is>
          <t>02</t>
        </is>
      </c>
      <c r="B7" s="23" t="inlineStr">
        <is>
          <t>Retries back off with jitter and honour Retry-After.</t>
        </is>
      </c>
      <c r="C7" s="15" t="n"/>
      <c r="D7" s="14">
        <f>IF(C7="","",IF(C7="Yes",2,IF(C7="Partial",1,IF(C7="No",0,""))))</f>
        <v/>
      </c>
      <c r="P7" s="18" t="n">
        <v>0</v>
      </c>
      <c r="Q7" s="18">
        <f>IF(AND(P7=1,C7="No"),1,0)</f>
        <v/>
      </c>
    </row>
    <row r="8" ht="30" customHeight="1">
      <c r="A8" s="35" t="inlineStr">
        <is>
          <t>★ 03</t>
        </is>
      </c>
      <c r="B8" s="23" t="inlineStr">
        <is>
          <t>Retries are capped per call and per task.</t>
        </is>
      </c>
      <c r="C8" s="15" t="n"/>
      <c r="D8" s="14">
        <f>IF(C8="","",IF(C8="Yes",2,IF(C8="Partial",1,IF(C8="No",0,""))))</f>
        <v/>
      </c>
      <c r="P8" s="18" t="n">
        <v>1</v>
      </c>
      <c r="Q8" s="18">
        <f>IF(AND(P8=1,C8="No"),1,0)</f>
        <v/>
      </c>
    </row>
    <row r="9" ht="30" customHeight="1">
      <c r="A9" s="34" t="inlineStr">
        <is>
          <t>04</t>
        </is>
      </c>
      <c r="B9" s="23" t="inlineStr">
        <is>
          <t>Retries resume from a checkpoint instead of restarting the task.</t>
        </is>
      </c>
      <c r="C9" s="15" t="n"/>
      <c r="D9" s="14">
        <f>IF(C9="","",IF(C9="Yes",2,IF(C9="Partial",1,IF(C9="No",0,""))))</f>
        <v/>
      </c>
      <c r="P9" s="18" t="n">
        <v>0</v>
      </c>
      <c r="Q9" s="18">
        <f>IF(AND(P9=1,C9="No"),1,0)</f>
        <v/>
      </c>
    </row>
    <row r="10" ht="30" customHeight="1">
      <c r="A10" s="35" t="inlineStr">
        <is>
          <t>★ 05</t>
        </is>
      </c>
      <c r="B10" s="23" t="inlineStr">
        <is>
          <t>The token budget belongs to the task, across all its attempts, not just to each call.</t>
        </is>
      </c>
      <c r="C10" s="15" t="n"/>
      <c r="D10" s="14">
        <f>IF(C10="","",IF(C10="Yes",2,IF(C10="Partial",1,IF(C10="No",0,""))))</f>
        <v/>
      </c>
      <c r="P10" s="18" t="n">
        <v>1</v>
      </c>
      <c r="Q10" s="18">
        <f>IF(AND(P10=1,C10="No"),1,0)</f>
        <v/>
      </c>
    </row>
    <row r="11" ht="30" customHeight="1">
      <c r="A11" s="34" t="inlineStr">
        <is>
          <t>06</t>
        </is>
      </c>
      <c r="B11" s="23" t="inlineStr">
        <is>
          <t>A shared quota is partitioned or prioritised, so one busy workflow can't starve the others.</t>
        </is>
      </c>
      <c r="C11" s="15" t="n"/>
      <c r="D11" s="14">
        <f>IF(C11="","",IF(C11="Yes",2,IF(C11="Partial",1,IF(C11="No",0,""))))</f>
        <v/>
      </c>
      <c r="P11" s="18" t="n">
        <v>0</v>
      </c>
      <c r="Q11" s="18">
        <f>IF(AND(P11=1,C11="No"),1,0)</f>
        <v/>
      </c>
    </row>
    <row r="12" ht="30" customHeight="1">
      <c r="A12" s="34" t="inlineStr">
        <is>
          <t>07</t>
        </is>
      </c>
      <c r="B12" s="23" t="inlineStr">
        <is>
          <t>New work stops (circuit breaker) when the refusal rate crosses a set threshold.</t>
        </is>
      </c>
      <c r="C12" s="15" t="n"/>
      <c r="D12" s="14">
        <f>IF(C12="","",IF(C12="Yes",2,IF(C12="Partial",1,IF(C12="No",0,""))))</f>
        <v/>
      </c>
      <c r="P12" s="18" t="n">
        <v>0</v>
      </c>
      <c r="Q12" s="18">
        <f>IF(AND(P12=1,C12="No"),1,0)</f>
        <v/>
      </c>
    </row>
    <row r="13" ht="30" customHeight="1">
      <c r="A13" s="35" t="inlineStr">
        <is>
          <t>★ 08</t>
        </is>
      </c>
      <c r="B13" s="23" t="inlineStr">
        <is>
          <t>Every step with a side effect has a defined stop state, a clean-up action and an owner.</t>
        </is>
      </c>
      <c r="C13" s="15" t="n"/>
      <c r="D13" s="14">
        <f>IF(C13="","",IF(C13="Yes",2,IF(C13="Partial",1,IF(C13="No",0,""))))</f>
        <v/>
      </c>
      <c r="E13" s="24">
        <f>"Stop states with no clean-up plan: "&amp;'4 · Stop States'!F19</f>
        <v/>
      </c>
      <c r="P13" s="18" t="n">
        <v>1</v>
      </c>
      <c r="Q13" s="18">
        <f>IF(AND(P13=1,C13="No"),1,0)</f>
        <v/>
      </c>
    </row>
    <row r="14" ht="30" customHeight="1">
      <c r="A14" s="35" t="inlineStr">
        <is>
          <t>★ 09</t>
        </is>
      </c>
      <c r="B14" s="23" t="inlineStr">
        <is>
          <t>Worst-case peak demand, with retries, fits within the quota.</t>
        </is>
      </c>
      <c r="C14" s="15" t="n"/>
      <c r="D14" s="14">
        <f>IF(C14="","",IF(C14="Yes",2,IF(C14="Partial",1,IF(C14="No",0,""))))</f>
        <v/>
      </c>
      <c r="E14" s="24">
        <f>'3 · Retry Amplifier'!D25</f>
        <v/>
      </c>
      <c r="P14" s="18" t="n">
        <v>1</v>
      </c>
      <c r="Q14" s="18">
        <f>IF(AND(P14=1,C14="No"),1,0)</f>
        <v/>
      </c>
    </row>
    <row r="15" ht="30" customHeight="1">
      <c r="A15" s="34" t="inlineStr">
        <is>
          <t>10</t>
        </is>
      </c>
      <c r="B15" s="23" t="inlineStr">
        <is>
          <t>Budget exhaustion raises an alert that a named person owns.</t>
        </is>
      </c>
      <c r="C15" s="15" t="n"/>
      <c r="D15" s="14">
        <f>IF(C15="","",IF(C15="Yes",2,IF(C15="Partial",1,IF(C15="No",0,""))))</f>
        <v/>
      </c>
      <c r="P15" s="18" t="n">
        <v>0</v>
      </c>
      <c r="Q15" s="18">
        <f>IF(AND(P15=1,C15="No"),1,0)</f>
        <v/>
      </c>
    </row>
    <row r="17">
      <c r="A17" s="19" t="inlineStr">
        <is>
          <t>Total</t>
        </is>
      </c>
      <c r="D17" s="36">
        <f>SUM(D6:D15)</f>
        <v/>
      </c>
      <c r="E17" s="4" t="inlineStr">
        <is>
          <t>Out of 20.</t>
        </is>
      </c>
      <c r="P17" s="18">
        <f>COUNTIF(C6:C15,"Yes")+COUNTIF(C6:C15,"Partial")+COUNTIF(C6:C15,"No")</f>
        <v/>
      </c>
    </row>
    <row r="18">
      <c r="A18" s="19" t="inlineStr">
        <is>
          <t>Critical checks answered No</t>
        </is>
      </c>
      <c r="D18" s="36">
        <f>SUM(Q6:Q15)</f>
        <v/>
      </c>
    </row>
    <row r="20" ht="34" customHeight="1">
      <c r="A20" s="19" t="inlineStr">
        <is>
          <t>Decision</t>
        </is>
      </c>
      <c r="C20" s="37">
        <f>IF(P17&lt;10,"Not scored yet",IF(D18&gt;0,"Hold",IF(D17&gt;=16,"Ready to scale","Fix first")))</f>
        <v/>
      </c>
    </row>
    <row r="21">
      <c r="C21" s="4">
        <f>IF(C20="Hold","Don't scale this workflow yet.",IF(C20="Fix first","Fix the checks answered No or Partial, then score it again.",IF(C20="Ready to scale","The limit policy holds at peak. Scale it.",IF(C20="Not scored yet","Answer all ten checks to get a decision.",""))))</f>
        <v/>
      </c>
    </row>
    <row r="23">
      <c r="A23" s="22" t="inlineStr">
        <is>
          <t>Your limit policy</t>
        </is>
      </c>
    </row>
    <row r="24">
      <c r="A24" s="4" t="inlineStr">
        <is>
          <t>The one-page artefact. Fill this in and take it to your team.</t>
        </is>
      </c>
    </row>
    <row r="25" ht="34" customHeight="1">
      <c r="A25" s="38" t="inlineStr">
        <is>
          <t>Per-task token budget</t>
        </is>
      </c>
      <c r="C25" s="33" t="n"/>
      <c r="E25" s="24" t="inlineStr">
        <is>
          <t>Across every attempt, not per call.</t>
        </is>
      </c>
    </row>
    <row r="26" ht="34" customHeight="1">
      <c r="A26" s="38" t="inlineStr">
        <is>
          <t>Max retries</t>
        </is>
      </c>
      <c r="C26" s="33" t="n"/>
      <c r="E26" s="24" t="inlineStr">
        <is>
          <t>Per call and per task.</t>
        </is>
      </c>
    </row>
    <row r="27" ht="34" customHeight="1">
      <c r="A27" s="38" t="inlineStr">
        <is>
          <t>Backoff</t>
        </is>
      </c>
      <c r="C27" s="33" t="n"/>
      <c r="E27" s="24" t="inlineStr">
        <is>
          <t>Base delay, max delay, jitter Yes/No.</t>
        </is>
      </c>
    </row>
    <row r="28" ht="34" customHeight="1">
      <c r="A28" s="38" t="inlineStr">
        <is>
          <t>Circuit-breaker threshold</t>
        </is>
      </c>
      <c r="C28" s="33" t="n"/>
      <c r="E28" s="24" t="inlineStr">
        <is>
          <t>The refusal rate at which new work stops.</t>
        </is>
      </c>
    </row>
    <row r="29" ht="34" customHeight="1">
      <c r="A29" s="38" t="inlineStr">
        <is>
          <t>Shed first under pressure</t>
        </is>
      </c>
      <c r="C29" s="33" t="n"/>
      <c r="E29" s="24" t="inlineStr">
        <is>
          <t>Which work is refused first.</t>
        </is>
      </c>
    </row>
    <row r="30" ht="34" customHeight="1">
      <c r="A30" s="38" t="inlineStr">
        <is>
          <t>Degrade option</t>
        </is>
      </c>
      <c r="C30" s="33" t="n"/>
      <c r="E30" s="24" t="inlineStr">
        <is>
          <t>Smaller model, shorter context, or queue for later.</t>
        </is>
      </c>
    </row>
  </sheetData>
  <sheetProtection selectLockedCells="0" selectUnlockedCells="0" sheet="1" objects="0" insertRows="1" insertHyperlinks="1" autoFilter="1" scenarios="0" formatColumns="1" deleteColumns="1" insertColumns="1" pivotTables="1" deleteRows="1" formatCells="0" formatRows="1" sort="1"/>
  <mergeCells count="18">
    <mergeCell ref="A20:B20"/>
    <mergeCell ref="A26:B26"/>
    <mergeCell ref="A30:B30"/>
    <mergeCell ref="C29:D29"/>
    <mergeCell ref="A29:B29"/>
    <mergeCell ref="A24:E24"/>
    <mergeCell ref="A25:B25"/>
    <mergeCell ref="C30:D30"/>
    <mergeCell ref="C25:D25"/>
    <mergeCell ref="C27:D27"/>
    <mergeCell ref="C26:D26"/>
    <mergeCell ref="A17:C17"/>
    <mergeCell ref="A18:C18"/>
    <mergeCell ref="A28:B28"/>
    <mergeCell ref="C28:D28"/>
    <mergeCell ref="C21:E21"/>
    <mergeCell ref="A27:B27"/>
    <mergeCell ref="C20:E20"/>
  </mergeCells>
  <conditionalFormatting sqref="D18">
    <cfRule type="expression" priority="1" dxfId="0">
      <formula>D18&gt;0</formula>
    </cfRule>
  </conditionalFormatting>
  <conditionalFormatting sqref="A20:E20">
    <cfRule type="expression" priority="2" dxfId="1">
      <formula>$C$20="Ready to scale"</formula>
    </cfRule>
    <cfRule type="expression" priority="3" dxfId="2">
      <formula>$C$20="Fix first"</formula>
    </cfRule>
    <cfRule type="expression" priority="4" dxfId="3">
      <formula>$C$20="Hold"</formula>
    </cfRule>
    <cfRule type="expression" priority="5" dxfId="5">
      <formula>$C$20="Not scored yet"</formula>
    </cfRule>
  </conditionalFormatting>
  <dataValidations count="1">
    <dataValidation sqref="C6:C15" showDropDown="0" showInputMessage="0" showErrorMessage="0" allowBlank="1" type="list">
      <formula1>"Yes,Partial,No"</formula1>
    </dataValidation>
  </dataValidations>
  <pageMargins left="0.4" right="0.4" top="0.4" bottom="0.4" header="0.5" footer="0.5"/>
  <pageSetup orientation="landscape" paperSize="9" fitToHeight="1" fitToWidth="1"/>
</worksheet>
</file>

<file path=xl/worksheets/sheet7.xml><?xml version="1.0" encoding="utf-8"?>
<worksheet xmlns="http://schemas.openxmlformats.org/spreadsheetml/2006/main">
  <sheetPr>
    <outlinePr summaryBelow="1" summaryRight="1"/>
    <pageSetUpPr fitToPage="1"/>
  </sheetPr>
  <dimension ref="A1:S115"/>
  <sheetViews>
    <sheetView workbookViewId="0">
      <pane ySplit="2" topLeftCell="A3" activePane="bottomLeft" state="frozen"/>
      <selection pane="bottomLeft" activeCell="A1" sqref="A1"/>
    </sheetView>
  </sheetViews>
  <sheetFormatPr baseColWidth="8" defaultRowHeight="15"/>
  <cols>
    <col width="9" customWidth="1" min="1" max="1"/>
    <col width="44" customWidth="1" min="2" max="2"/>
    <col width="17" customWidth="1" min="3" max="3"/>
    <col width="20" customWidth="1" min="4" max="4"/>
    <col width="26" customWidth="1" min="5" max="5"/>
    <col width="30" customWidth="1" min="6" max="6"/>
    <col width="20" customWidth="1" min="7" max="7"/>
    <col width="20" customWidth="1" min="8" max="8"/>
    <col width="19" customWidth="1" min="9" max="9"/>
    <col width="14" customWidth="1" min="10" max="10"/>
    <col width="14" customWidth="1" min="11" max="11"/>
    <col width="14" customWidth="1" min="12" max="12"/>
    <col width="14"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26" customHeight="1">
      <c r="A1" s="39" t="inlineStr">
        <is>
          <t>Illustrative example. Not a real system or real figures.</t>
        </is>
      </c>
    </row>
    <row r="2" ht="26" customHeight="1">
      <c r="A2" s="13" t="inlineStr">
        <is>
          <t>A scheduling agent. Six steps, two of them with side effects, run at peak against a token-per-minute quota shared with every other workflow on the same key.</t>
        </is>
      </c>
    </row>
    <row r="4" ht="28" customHeight="1">
      <c r="A4" s="10" t="inlineStr">
        <is>
          <t>1 · Workflow Map</t>
        </is>
      </c>
    </row>
    <row r="5" ht="18" customHeight="1">
      <c r="A5" s="11" t="inlineStr">
        <is>
          <t>What does one run of this workflow cost, step by step?</t>
        </is>
      </c>
    </row>
    <row r="7" ht="42" customHeight="1">
      <c r="A7" s="12" t="inlineStr">
        <is>
          <t>Step #</t>
        </is>
      </c>
      <c r="B7" s="12" t="inlineStr">
        <is>
          <t>Step name</t>
        </is>
      </c>
      <c r="C7" s="12" t="inlineStr">
        <is>
          <t>Calls a model?</t>
        </is>
      </c>
      <c r="D7" s="12" t="inlineStr">
        <is>
          <t>Calls an external API?</t>
        </is>
      </c>
      <c r="E7" s="12" t="inlineStr">
        <is>
          <t>Side effect</t>
        </is>
      </c>
      <c r="F7" s="12" t="inlineStr">
        <is>
          <t>Input tokens</t>
        </is>
      </c>
      <c r="G7" s="12" t="inlineStr">
        <is>
          <t>Output tokens</t>
        </is>
      </c>
      <c r="H7" s="12" t="inlineStr">
        <is>
          <t>Step tokens</t>
        </is>
      </c>
      <c r="I7" s="12" t="inlineStr">
        <is>
          <t>Cumulative tokens</t>
        </is>
      </c>
      <c r="J7" s="12" t="inlineStr">
        <is>
          <t>Idempotent on retry?</t>
        </is>
      </c>
      <c r="K7" s="12" t="inlineStr">
        <is>
          <t>Checkpoint saved after step?</t>
        </is>
      </c>
    </row>
    <row r="8" ht="38" customHeight="1">
      <c r="B8" s="13" t="inlineStr">
        <is>
          <t>Plain words. "Read calendars", not "step 2".</t>
        </is>
      </c>
      <c r="E8" s="13" t="inlineStr">
        <is>
          <t>Holding a room is Reversible. Sending an invite is Irreversible.</t>
        </is>
      </c>
      <c r="F8" s="13" t="inlineStr">
        <is>
          <t>Tokens sent on this step, including carried context.</t>
        </is>
      </c>
      <c r="J8" s="13" t="inlineStr">
        <is>
          <t>Can this step safely run twice?</t>
        </is>
      </c>
      <c r="K8" s="13" t="inlineStr">
        <is>
          <t>Can a retry resume here instead of restarting?</t>
        </is>
      </c>
    </row>
    <row r="9" ht="22" customHeight="1">
      <c r="A9" s="14" t="n">
        <v>1</v>
      </c>
      <c r="B9" s="9" t="inlineStr">
        <is>
          <t>Parse request</t>
        </is>
      </c>
      <c r="C9" s="15" t="inlineStr">
        <is>
          <t>Yes</t>
        </is>
      </c>
      <c r="D9" s="15" t="inlineStr">
        <is>
          <t>No</t>
        </is>
      </c>
      <c r="E9" s="9" t="inlineStr">
        <is>
          <t>None</t>
        </is>
      </c>
      <c r="F9" s="16" t="n">
        <v>1500</v>
      </c>
      <c r="G9" s="16" t="n">
        <v>300</v>
      </c>
      <c r="H9" s="17">
        <f>IF(AND(F9="",G9=""),"",SUM(F9:G9))</f>
        <v/>
      </c>
      <c r="I9" s="17">
        <f>IF(H9="","",SUM($H$9:H9))</f>
        <v/>
      </c>
      <c r="J9" s="15" t="inlineStr">
        <is>
          <t>Yes</t>
        </is>
      </c>
      <c r="K9" s="15" t="inlineStr">
        <is>
          <t>No</t>
        </is>
      </c>
      <c r="N9" s="18">
        <f>IF(K9="Yes",A9,0)</f>
        <v/>
      </c>
    </row>
    <row r="10" ht="22" customHeight="1">
      <c r="A10" s="14" t="n">
        <v>2</v>
      </c>
      <c r="B10" s="9" t="inlineStr">
        <is>
          <t>Read calendars</t>
        </is>
      </c>
      <c r="C10" s="15" t="inlineStr">
        <is>
          <t>Yes</t>
        </is>
      </c>
      <c r="D10" s="15" t="inlineStr">
        <is>
          <t>Yes</t>
        </is>
      </c>
      <c r="E10" s="9" t="inlineStr">
        <is>
          <t>None</t>
        </is>
      </c>
      <c r="F10" s="16" t="n">
        <v>6000</v>
      </c>
      <c r="G10" s="16" t="n">
        <v>800</v>
      </c>
      <c r="H10" s="17">
        <f>IF(AND(F10="",G10=""),"",SUM(F10:G10))</f>
        <v/>
      </c>
      <c r="I10" s="17">
        <f>IF(H10="","",SUM($H$9:H10))</f>
        <v/>
      </c>
      <c r="J10" s="15" t="inlineStr">
        <is>
          <t>Yes</t>
        </is>
      </c>
      <c r="K10" s="15" t="inlineStr">
        <is>
          <t>No</t>
        </is>
      </c>
      <c r="N10" s="18">
        <f>IF(K10="Yes",A10,N9)</f>
        <v/>
      </c>
    </row>
    <row r="11" ht="22" customHeight="1">
      <c r="A11" s="14" t="n">
        <v>3</v>
      </c>
      <c r="B11" s="9" t="inlineStr">
        <is>
          <t>Propose slots</t>
        </is>
      </c>
      <c r="C11" s="15" t="inlineStr">
        <is>
          <t>Yes</t>
        </is>
      </c>
      <c r="D11" s="15" t="inlineStr">
        <is>
          <t>No</t>
        </is>
      </c>
      <c r="E11" s="9" t="inlineStr">
        <is>
          <t>None</t>
        </is>
      </c>
      <c r="F11" s="16" t="n">
        <v>7500</v>
      </c>
      <c r="G11" s="16" t="n">
        <v>600</v>
      </c>
      <c r="H11" s="17">
        <f>IF(AND(F11="",G11=""),"",SUM(F11:G11))</f>
        <v/>
      </c>
      <c r="I11" s="17">
        <f>IF(H11="","",SUM($H$9:H11))</f>
        <v/>
      </c>
      <c r="J11" s="15" t="inlineStr">
        <is>
          <t>Yes</t>
        </is>
      </c>
      <c r="K11" s="15" t="inlineStr">
        <is>
          <t>No</t>
        </is>
      </c>
      <c r="N11" s="18">
        <f>IF(K11="Yes",A11,N10)</f>
        <v/>
      </c>
    </row>
    <row r="12" ht="22" customHeight="1">
      <c r="A12" s="14" t="n">
        <v>4</v>
      </c>
      <c r="B12" s="9" t="inlineStr">
        <is>
          <t>Hold room</t>
        </is>
      </c>
      <c r="C12" s="15" t="inlineStr">
        <is>
          <t>Yes</t>
        </is>
      </c>
      <c r="D12" s="15" t="inlineStr">
        <is>
          <t>Yes</t>
        </is>
      </c>
      <c r="E12" s="9" t="inlineStr">
        <is>
          <t>Reversible</t>
        </is>
      </c>
      <c r="F12" s="16" t="n">
        <v>8200</v>
      </c>
      <c r="G12" s="16" t="n">
        <v>200</v>
      </c>
      <c r="H12" s="17">
        <f>IF(AND(F12="",G12=""),"",SUM(F12:G12))</f>
        <v/>
      </c>
      <c r="I12" s="17">
        <f>IF(H12="","",SUM($H$9:H12))</f>
        <v/>
      </c>
      <c r="J12" s="15" t="inlineStr">
        <is>
          <t>No</t>
        </is>
      </c>
      <c r="K12" s="15" t="inlineStr">
        <is>
          <t>No</t>
        </is>
      </c>
      <c r="N12" s="18">
        <f>IF(K12="Yes",A12,N11)</f>
        <v/>
      </c>
    </row>
    <row r="13" ht="22" customHeight="1">
      <c r="A13" s="14" t="n">
        <v>5</v>
      </c>
      <c r="B13" s="9" t="inlineStr">
        <is>
          <t>Send invites</t>
        </is>
      </c>
      <c r="C13" s="15" t="inlineStr">
        <is>
          <t>Yes</t>
        </is>
      </c>
      <c r="D13" s="15" t="inlineStr">
        <is>
          <t>Yes</t>
        </is>
      </c>
      <c r="E13" s="9" t="inlineStr">
        <is>
          <t>Irreversible</t>
        </is>
      </c>
      <c r="F13" s="16" t="n">
        <v>8500</v>
      </c>
      <c r="G13" s="16" t="n">
        <v>400</v>
      </c>
      <c r="H13" s="17">
        <f>IF(AND(F13="",G13=""),"",SUM(F13:G13))</f>
        <v/>
      </c>
      <c r="I13" s="17">
        <f>IF(H13="","",SUM($H$9:H13))</f>
        <v/>
      </c>
      <c r="J13" s="15" t="inlineStr">
        <is>
          <t>No</t>
        </is>
      </c>
      <c r="K13" s="15" t="inlineStr">
        <is>
          <t>No</t>
        </is>
      </c>
      <c r="N13" s="18">
        <f>IF(K13="Yes",A13,N12)</f>
        <v/>
      </c>
    </row>
    <row r="14" ht="22" customHeight="1">
      <c r="A14" s="14" t="n">
        <v>6</v>
      </c>
      <c r="B14" s="9" t="inlineStr">
        <is>
          <t>Confirm to user</t>
        </is>
      </c>
      <c r="C14" s="15" t="inlineStr">
        <is>
          <t>Yes</t>
        </is>
      </c>
      <c r="D14" s="15" t="inlineStr">
        <is>
          <t>No</t>
        </is>
      </c>
      <c r="E14" s="9" t="inlineStr">
        <is>
          <t>None</t>
        </is>
      </c>
      <c r="F14" s="16" t="n">
        <v>9000</v>
      </c>
      <c r="G14" s="16" t="n">
        <v>300</v>
      </c>
      <c r="H14" s="17">
        <f>IF(AND(F14="",G14=""),"",SUM(F14:G14))</f>
        <v/>
      </c>
      <c r="I14" s="17">
        <f>IF(H14="","",SUM($H$9:H14))</f>
        <v/>
      </c>
      <c r="J14" s="15" t="inlineStr">
        <is>
          <t>Yes</t>
        </is>
      </c>
      <c r="K14" s="15" t="inlineStr">
        <is>
          <t>No</t>
        </is>
      </c>
      <c r="N14" s="18">
        <f>IF(K14="Yes",A14,N13)</f>
        <v/>
      </c>
    </row>
    <row r="16">
      <c r="A16" s="19" t="inlineStr">
        <is>
          <t>Tokens per clean run</t>
        </is>
      </c>
      <c r="H16" s="20">
        <f>SUM(H9:H14)</f>
        <v/>
      </c>
    </row>
    <row r="17">
      <c r="A17" s="19" t="inlineStr">
        <is>
          <t>Steps with side effects</t>
        </is>
      </c>
      <c r="H17" s="20">
        <f>COUNTIF(E9:E14,"Reversible")+COUNTIF(E9:E14,"Irreversible")</f>
        <v/>
      </c>
    </row>
    <row r="18">
      <c r="A18" s="19" t="inlineStr">
        <is>
          <t>Unsafe steps (a side effect, and not idempotent)</t>
        </is>
      </c>
      <c r="H18" s="20">
        <f>COUNTIFS(E9:E14,"Reversible",J9:J14,"No")+COUNTIFS(E9:E14,"Irreversible",J9:J14,"No")</f>
        <v/>
      </c>
      <c r="I18" s="4" t="inlineStr">
        <is>
          <t>Every one of these can be run twice by a retry.</t>
        </is>
      </c>
    </row>
    <row r="21" ht="28" customHeight="1">
      <c r="A21" s="10" t="inlineStr">
        <is>
          <t>2 · Limits</t>
        </is>
      </c>
    </row>
    <row r="22" ht="18" customHeight="1">
      <c r="A22" s="11" t="inlineStr">
        <is>
          <t>Which limits can refuse the agent, and who shares them?</t>
        </is>
      </c>
    </row>
    <row r="24" ht="42" customHeight="1">
      <c r="A24" s="12" t="inlineStr">
        <is>
          <t>#</t>
        </is>
      </c>
      <c r="B24" s="12" t="inlineStr">
        <is>
          <t>Limit</t>
        </is>
      </c>
      <c r="C24" s="12" t="inlineStr">
        <is>
          <t>Scope</t>
        </is>
      </c>
      <c r="D24" s="12" t="inlineStr">
        <is>
          <t>Value</t>
        </is>
      </c>
      <c r="E24" s="12" t="inlineStr">
        <is>
          <t>Unit</t>
        </is>
      </c>
      <c r="F24" s="12" t="inlineStr">
        <is>
          <t>Window</t>
        </is>
      </c>
      <c r="G24" s="12" t="inlineStr">
        <is>
          <t>Shared with</t>
        </is>
      </c>
      <c r="H24" s="12" t="inlineStr">
        <is>
          <t>Refusal signal</t>
        </is>
      </c>
      <c r="I24" s="12" t="inlineStr">
        <is>
          <t>Current handling</t>
        </is>
      </c>
      <c r="J24" s="12" t="inlineStr">
        <is>
          <t>Owner</t>
        </is>
      </c>
    </row>
    <row r="25" ht="38" customHeight="1">
      <c r="G25" s="13" t="inlineStr">
        <is>
          <t>e.g. "all agents on this API key"</t>
        </is>
      </c>
      <c r="H25" s="13" t="inlineStr">
        <is>
          <t>e.g. "HTTP 429 + Retry-After"</t>
        </is>
      </c>
    </row>
    <row r="26" ht="22" customHeight="1">
      <c r="A26" s="14" t="n">
        <v>1</v>
      </c>
      <c r="B26" s="9" t="inlineStr">
        <is>
          <t>Model provider tokens per minute</t>
        </is>
      </c>
      <c r="C26" s="9" t="inlineStr">
        <is>
          <t>Shared across workflows</t>
        </is>
      </c>
      <c r="D26" s="16" t="n">
        <v>10000000</v>
      </c>
      <c r="E26" s="15" t="inlineStr">
        <is>
          <t>tokens</t>
        </is>
      </c>
      <c r="F26" s="15" t="inlineStr">
        <is>
          <t>per minute</t>
        </is>
      </c>
      <c r="G26" s="9" t="inlineStr">
        <is>
          <t>all agents on this API key</t>
        </is>
      </c>
      <c r="H26" s="9" t="inlineStr">
        <is>
          <t>HTTP 429 + Retry-After</t>
        </is>
      </c>
      <c r="I26" s="9" t="inlineStr">
        <is>
          <t>Retry with backoff</t>
        </is>
      </c>
      <c r="J26" s="9" t="inlineStr">
        <is>
          <t>Platform team</t>
        </is>
      </c>
      <c r="O26" s="18">
        <f>IF(AND(E26="tokens",F26="per minute"),"tpm","")</f>
        <v/>
      </c>
    </row>
    <row r="27" ht="22" customHeight="1">
      <c r="A27" s="14" t="n">
        <v>2</v>
      </c>
      <c r="B27" s="9" t="inlineStr">
        <is>
          <t>Model provider requests per minute</t>
        </is>
      </c>
      <c r="C27" s="9" t="inlineStr">
        <is>
          <t>Shared across workflows</t>
        </is>
      </c>
      <c r="D27" s="16" t="n">
        <v>4000</v>
      </c>
      <c r="E27" s="15" t="inlineStr">
        <is>
          <t>requests</t>
        </is>
      </c>
      <c r="F27" s="15" t="inlineStr">
        <is>
          <t>per minute</t>
        </is>
      </c>
      <c r="G27" s="9" t="inlineStr">
        <is>
          <t>all agents on this API key</t>
        </is>
      </c>
      <c r="H27" s="9" t="inlineStr">
        <is>
          <t>HTTP 429 + Retry-After</t>
        </is>
      </c>
      <c r="I27" s="9" t="inlineStr">
        <is>
          <t>Retry with backoff</t>
        </is>
      </c>
      <c r="J27" s="9" t="inlineStr">
        <is>
          <t>Platform team</t>
        </is>
      </c>
      <c r="O27" s="18">
        <f>IF(AND(E27="tokens",F27="per minute"),"tpm","")</f>
        <v/>
      </c>
    </row>
    <row r="28" ht="22" customHeight="1">
      <c r="A28" s="14" t="n">
        <v>3</v>
      </c>
      <c r="B28" s="9" t="inlineStr">
        <is>
          <t>Calendar API writes</t>
        </is>
      </c>
      <c r="C28" s="9" t="inlineStr">
        <is>
          <t>Per tenant</t>
        </is>
      </c>
      <c r="D28" s="16" t="n">
        <v>600</v>
      </c>
      <c r="E28" s="15" t="inlineStr">
        <is>
          <t>requests</t>
        </is>
      </c>
      <c r="F28" s="15" t="inlineStr">
        <is>
          <t>per minute</t>
        </is>
      </c>
      <c r="G28" s="9" t="inlineStr">
        <is>
          <t>scheduling agent only</t>
        </is>
      </c>
      <c r="H28" s="9" t="inlineStr">
        <is>
          <t>HTTP 429, no Retry-After</t>
        </is>
      </c>
      <c r="I28" s="9" t="inlineStr">
        <is>
          <t>Queue</t>
        </is>
      </c>
      <c r="J28" s="9" t="inlineStr">
        <is>
          <t>Workplace IT</t>
        </is>
      </c>
      <c r="O28" s="18">
        <f>IF(AND(E28="tokens",F28="per minute"),"tpm","")</f>
        <v/>
      </c>
    </row>
    <row r="29" ht="22" customHeight="1">
      <c r="A29" s="14" t="n">
        <v>4</v>
      </c>
      <c r="B29" s="9" t="inlineStr">
        <is>
          <t>Per-task token budget</t>
        </is>
      </c>
      <c r="C29" s="9" t="inlineStr">
        <is>
          <t>Per task</t>
        </is>
      </c>
      <c r="D29" s="16" t="n">
        <v>120000</v>
      </c>
      <c r="E29" s="15" t="inlineStr">
        <is>
          <t>tokens</t>
        </is>
      </c>
      <c r="F29" s="15" t="inlineStr">
        <is>
          <t>per request</t>
        </is>
      </c>
      <c r="G29" s="9" t="inlineStr">
        <is>
          <t>not shared</t>
        </is>
      </c>
      <c r="H29" s="9" t="inlineStr">
        <is>
          <t>budget guard refuses the call</t>
        </is>
      </c>
      <c r="I29" s="9" t="inlineStr">
        <is>
          <t>Fail task</t>
        </is>
      </c>
      <c r="J29" s="9" t="inlineStr">
        <is>
          <t>Scheduling team</t>
        </is>
      </c>
      <c r="O29" s="18">
        <f>IF(AND(E29="tokens",F29="per minute"),"tpm","")</f>
        <v/>
      </c>
    </row>
    <row r="30" ht="22" customHeight="1">
      <c r="A30" s="14" t="n">
        <v>5</v>
      </c>
      <c r="B30" s="9" t="n"/>
      <c r="C30" s="9" t="n"/>
      <c r="D30" s="16" t="n"/>
      <c r="E30" s="15" t="n"/>
      <c r="F30" s="15" t="n"/>
      <c r="G30" s="9" t="n"/>
      <c r="H30" s="9" t="n"/>
      <c r="I30" s="9" t="n"/>
      <c r="J30" s="9" t="n"/>
      <c r="O30" s="18">
        <f>IF(AND(E30="tokens",F30="per minute"),"tpm","")</f>
        <v/>
      </c>
    </row>
    <row r="31" ht="22" customHeight="1">
      <c r="A31" s="14" t="n">
        <v>6</v>
      </c>
      <c r="B31" s="9" t="n"/>
      <c r="C31" s="9" t="n"/>
      <c r="D31" s="16" t="n"/>
      <c r="E31" s="15" t="n"/>
      <c r="F31" s="15" t="n"/>
      <c r="G31" s="9" t="n"/>
      <c r="H31" s="9" t="n"/>
      <c r="I31" s="9" t="n"/>
      <c r="J31" s="9" t="n"/>
      <c r="O31" s="18">
        <f>IF(AND(E31="tokens",F31="per minute"),"tpm","")</f>
        <v/>
      </c>
    </row>
    <row r="32" ht="22" customHeight="1">
      <c r="A32" s="14" t="n">
        <v>7</v>
      </c>
      <c r="B32" s="9" t="n"/>
      <c r="C32" s="9" t="n"/>
      <c r="D32" s="16" t="n"/>
      <c r="E32" s="15" t="n"/>
      <c r="F32" s="15" t="n"/>
      <c r="G32" s="9" t="n"/>
      <c r="H32" s="9" t="n"/>
      <c r="I32" s="9" t="n"/>
      <c r="J32" s="9" t="n"/>
      <c r="O32" s="18">
        <f>IF(AND(E32="tokens",F32="per minute"),"tpm","")</f>
        <v/>
      </c>
    </row>
    <row r="33" ht="22" customHeight="1">
      <c r="A33" s="14" t="n">
        <v>8</v>
      </c>
      <c r="B33" s="9" t="n"/>
      <c r="C33" s="9" t="n"/>
      <c r="D33" s="16" t="n"/>
      <c r="E33" s="15" t="n"/>
      <c r="F33" s="15" t="n"/>
      <c r="G33" s="9" t="n"/>
      <c r="H33" s="9" t="n"/>
      <c r="I33" s="9" t="n"/>
      <c r="J33" s="9" t="n"/>
      <c r="O33" s="18">
        <f>IF(AND(E33="tokens",F33="per minute"),"tpm","")</f>
        <v/>
      </c>
    </row>
    <row r="34" ht="22" customHeight="1">
      <c r="A34" s="14" t="n">
        <v>9</v>
      </c>
      <c r="B34" s="9" t="n"/>
      <c r="C34" s="9" t="n"/>
      <c r="D34" s="16" t="n"/>
      <c r="E34" s="15" t="n"/>
      <c r="F34" s="15" t="n"/>
      <c r="G34" s="9" t="n"/>
      <c r="H34" s="9" t="n"/>
      <c r="I34" s="9" t="n"/>
      <c r="J34" s="9" t="n"/>
      <c r="O34" s="18">
        <f>IF(AND(E34="tokens",F34="per minute"),"tpm","")</f>
        <v/>
      </c>
    </row>
    <row r="35" ht="22" customHeight="1">
      <c r="A35" s="14" t="n">
        <v>10</v>
      </c>
      <c r="B35" s="9" t="n"/>
      <c r="C35" s="9" t="n"/>
      <c r="D35" s="16" t="n"/>
      <c r="E35" s="15" t="n"/>
      <c r="F35" s="15" t="n"/>
      <c r="G35" s="9" t="n"/>
      <c r="H35" s="9" t="n"/>
      <c r="I35" s="9" t="n"/>
      <c r="J35" s="9" t="n"/>
      <c r="O35" s="18">
        <f>IF(AND(E35="tokens",F35="per minute"),"tpm","")</f>
        <v/>
      </c>
    </row>
    <row r="37">
      <c r="A37" s="19" t="inlineStr">
        <is>
          <t>Limits shared across workflows</t>
        </is>
      </c>
      <c r="D37" s="20">
        <f>COUNTIF(C26:C35,"Shared across workflows")</f>
        <v/>
      </c>
      <c r="E37" s="4" t="inlineStr">
        <is>
          <t>One busy workflow can starve every other one on these.</t>
        </is>
      </c>
    </row>
    <row r="38">
      <c r="A38" s="19" t="inlineStr">
        <is>
          <t>Limits retried immediately, or not handled at all</t>
        </is>
      </c>
      <c r="D38" s="20">
        <f>COUNTIF(I26:I35,"Retry immediately")+COUNTIF(I26:I35,"Unknown")</f>
        <v/>
      </c>
      <c r="E38" s="4" t="inlineStr">
        <is>
          <t>An immediate retry is the pattern that amplifies a spike.</t>
        </is>
      </c>
    </row>
    <row r="41" ht="28" customHeight="1">
      <c r="A41" s="10" t="inlineStr">
        <is>
          <t>3 · Retry Amplifier</t>
        </is>
      </c>
    </row>
    <row r="42" ht="18" customHeight="1">
      <c r="A42" s="11" t="inlineStr">
        <is>
          <t>How far can retries amplify spend at peak?</t>
        </is>
      </c>
    </row>
    <row r="44">
      <c r="A44" s="22" t="inlineStr">
        <is>
          <t>Inputs</t>
        </is>
      </c>
    </row>
    <row r="45" ht="24" customHeight="1">
      <c r="A45" s="23" t="inlineStr">
        <is>
          <t>Tokens per clean run</t>
        </is>
      </c>
      <c r="D45" s="16">
        <f>H16</f>
        <v/>
      </c>
      <c r="E45" s="24" t="inlineStr">
        <is>
          <t>Linked from the workflow map. Type over it to model a different run.</t>
        </is>
      </c>
      <c r="P45" s="18">
        <f>AND(D45&lt;&gt;"",D46&lt;&gt;"",D47&lt;&gt;"",D48&lt;&gt;"")</f>
        <v/>
      </c>
    </row>
    <row r="46" ht="24" customHeight="1">
      <c r="A46" s="23" t="inlineStr">
        <is>
          <t>Step most likely to be refused (step #)</t>
        </is>
      </c>
      <c r="D46" s="25" t="n">
        <v>4</v>
      </c>
      <c r="P46" s="18">
        <f>IF(P45,IF(D46&lt;=1,0,INDEX(I9:I14,D46-1)),"")</f>
        <v/>
      </c>
    </row>
    <row r="47" ht="24" customHeight="1">
      <c r="A47" s="23" t="inlineStr">
        <is>
          <t>Retry scope</t>
        </is>
      </c>
      <c r="D47" s="9" t="inlineStr">
        <is>
          <t>Restart task</t>
        </is>
      </c>
      <c r="E47" s="24" t="inlineStr">
        <is>
          <t>What a retry re-runs: the whole task, everything since the last checkpoint, or only the refused call.</t>
        </is>
      </c>
      <c r="P47" s="18">
        <f>IF(P45,IF(D46&lt;=1,0,INDEX(N9:N14,D46-1)),"")</f>
        <v/>
      </c>
    </row>
    <row r="48" ht="24" customHeight="1">
      <c r="A48" s="23" t="inlineStr">
        <is>
          <t>Max retries per task</t>
        </is>
      </c>
      <c r="D48" s="25" t="n">
        <v>3</v>
      </c>
      <c r="P48" s="18">
        <f>IF(P45,IF(D46&lt;=1,0,IF(P47=0,P46,P46-INDEX(I9:I14,P47))),"")</f>
        <v/>
      </c>
    </row>
    <row r="49" ht="24" customHeight="1">
      <c r="A49" s="23" t="inlineStr">
        <is>
          <t>Refused calls count against quota?</t>
        </is>
      </c>
      <c r="D49" s="15" t="inlineStr">
        <is>
          <t>No</t>
        </is>
      </c>
      <c r="E49" s="24" t="inlineStr">
        <is>
          <t>Most providers don't bill rejected calls. Check yours.</t>
        </is>
      </c>
    </row>
    <row r="50" ht="24" customHeight="1">
      <c r="A50" s="23" t="inlineStr">
        <is>
          <t>Peak tasks started per minute</t>
        </is>
      </c>
      <c r="D50" s="25" t="n">
        <v>200</v>
      </c>
    </row>
    <row r="51" ht="24" customHeight="1">
      <c r="A51" s="23" t="inlineStr">
        <is>
          <t>Token-per-minute limit for the shared quota</t>
        </is>
      </c>
      <c r="D51" s="16">
        <f>IFERROR(INDEX(D26:D35,MATCH("tpm",O26:O35,0)),"")</f>
        <v/>
      </c>
      <c r="E51" s="24" t="inlineStr">
        <is>
          <t>Linked from the first limit row with unit tokens and window per minute. Type over it if that is not the one.</t>
        </is>
      </c>
    </row>
    <row r="53">
      <c r="A53" s="22" t="inlineStr">
        <is>
          <t>What retries cost</t>
        </is>
      </c>
    </row>
    <row r="54" ht="24" customHeight="1">
      <c r="A54" s="23" t="inlineStr">
        <is>
          <t>Tokens repeated per failed attempt</t>
        </is>
      </c>
      <c r="D54" s="26">
        <f>IF(P45,IFERROR(IF(D47="Retry the call only",0,IF(D47="Restart task",P46,IF(D47="Resume from last checkpoint",P48,"")))+IF(D49="Yes",INDEX(F9:F14,D46),0),""),"")</f>
        <v/>
      </c>
      <c r="E54" s="24" t="inlineStr">
        <is>
          <t>Work already paid for that a retry pays for again.</t>
        </is>
      </c>
    </row>
    <row r="55" ht="24" customHeight="1">
      <c r="A55" s="23" t="inlineStr">
        <is>
          <t>Worst case, eventually succeeds</t>
        </is>
      </c>
      <c r="D55" s="26">
        <f>IF(D54="","",D48*D54+D45)</f>
        <v/>
      </c>
    </row>
    <row r="56" ht="24" customHeight="1">
      <c r="A56" s="23" t="inlineStr">
        <is>
          <t>Worst case, gives up</t>
        </is>
      </c>
      <c r="D56" s="26">
        <f>IF(D54="","",(D48+1)*D54)</f>
        <v/>
      </c>
      <c r="E56" s="24" t="inlineStr">
        <is>
          <t>Spent with nothing booked.</t>
        </is>
      </c>
    </row>
    <row r="57" ht="24" customHeight="1">
      <c r="A57" s="23" t="inlineStr">
        <is>
          <t>Amplification factor</t>
        </is>
      </c>
      <c r="D57" s="27">
        <f>IF(D55="","",IFERROR(ROUND(D55/D45,2),""))</f>
        <v/>
      </c>
      <c r="E57" s="24" t="inlineStr">
        <is>
          <t>Worst case that succeeds, over one clean run.</t>
        </is>
      </c>
    </row>
    <row r="59">
      <c r="A59" s="22" t="inlineStr">
        <is>
          <t>At peak</t>
        </is>
      </c>
    </row>
    <row r="60" ht="24" customHeight="1">
      <c r="A60" s="23" t="inlineStr">
        <is>
          <t>Peak demand, normal</t>
        </is>
      </c>
      <c r="D60" s="26">
        <f>IF(OR(D50="",D45=""),"",D50*D45)</f>
        <v/>
      </c>
      <c r="E60" s="24" t="inlineStr">
        <is>
          <t>Tokens per minute if nothing is refused.</t>
        </is>
      </c>
    </row>
    <row r="61" ht="24" customHeight="1">
      <c r="A61" s="23" t="inlineStr">
        <is>
          <t>Peak demand, worst case</t>
        </is>
      </c>
      <c r="D61" s="26">
        <f>IF(OR(D50="",D55=""),"",D50*D55)</f>
        <v/>
      </c>
      <c r="E61" s="24" t="inlineStr">
        <is>
          <t>Tokens per minute if every task is refused at that step.</t>
        </is>
      </c>
    </row>
    <row r="62" ht="24" customHeight="1">
      <c r="A62" s="23" t="inlineStr">
        <is>
          <t>Quota used, normal</t>
        </is>
      </c>
      <c r="D62" s="28">
        <f>IF(OR(D60="",D51="",D51=0),"",IFERROR(D60/D51,""))</f>
        <v/>
      </c>
      <c r="E62" s="24">
        <f>IF(D62="","",IF(D62&lt;=0.8,"Fits with headroom",IF(D62&lt;=1,"Tight: any spike tips it over","Retries alone can exhaust the quota")))</f>
        <v/>
      </c>
    </row>
    <row r="63" ht="24" customHeight="1">
      <c r="A63" s="23" t="inlineStr">
        <is>
          <t>Quota used, worst case</t>
        </is>
      </c>
      <c r="D63" s="28">
        <f>IF(OR(D61="",D51="",D51=0),"",IFERROR(D61/D51,""))</f>
        <v/>
      </c>
    </row>
    <row r="65" ht="30" customHeight="1">
      <c r="A65" s="29" t="inlineStr">
        <is>
          <t>Verdict</t>
        </is>
      </c>
      <c r="B65" s="30" t="n"/>
      <c r="C65" s="30" t="n"/>
      <c r="D65" s="31">
        <f>IF(D63="","",IF(D63&lt;=0.8,"Fits with headroom",IF(D63&lt;=1,"Tight: any spike tips it over","Retries alone can exhaust the quota")))</f>
        <v/>
      </c>
      <c r="E65" s="30" t="n"/>
      <c r="F65" s="30" t="n"/>
      <c r="G65" s="30" t="n"/>
      <c r="H65" s="30" t="n"/>
    </row>
    <row r="67" ht="16" customHeight="1">
      <c r="A67" s="13" t="inlineStr">
        <is>
          <t>This is a planning bound, not a forecast. It assumes every task hits the limit at the same step. Real traffic is messier; use it to see whether your retry design can take the whole system down.</t>
        </is>
      </c>
    </row>
    <row r="68" ht="16" customHeight="1"/>
    <row r="71" ht="28" customHeight="1">
      <c r="A71" s="10" t="inlineStr">
        <is>
          <t>4 · Stop States</t>
        </is>
      </c>
    </row>
    <row r="72" ht="18" customHeight="1">
      <c r="A72" s="11" t="inlineStr">
        <is>
          <t>If the agent stops at each step, what's left behind and who cleans it up?</t>
        </is>
      </c>
    </row>
    <row r="74" ht="42" customHeight="1">
      <c r="A74" s="12" t="inlineStr">
        <is>
          <t>Step #</t>
        </is>
      </c>
      <c r="B74" s="12" t="inlineStr">
        <is>
          <t>Step</t>
        </is>
      </c>
      <c r="C74" s="12" t="inlineStr">
        <is>
          <t>Side effect</t>
        </is>
      </c>
      <c r="D74" s="12" t="inlineStr">
        <is>
          <t>State left if the agent stops right after this step</t>
        </is>
      </c>
      <c r="E74" s="12" t="inlineStr">
        <is>
          <t>What the user sees</t>
        </is>
      </c>
      <c r="F74" s="12" t="inlineStr">
        <is>
          <t>Clean-up action</t>
        </is>
      </c>
      <c r="G74" s="12" t="inlineStr">
        <is>
          <t>Automatic or manual?</t>
        </is>
      </c>
      <c r="H74" s="12" t="inlineStr">
        <is>
          <t>Clean-up owner</t>
        </is>
      </c>
      <c r="I74" s="12" t="inlineStr">
        <is>
          <t>Can the task resume from here?</t>
        </is>
      </c>
      <c r="J74" s="12" t="inlineStr">
        <is>
          <t>Stop cost</t>
        </is>
      </c>
    </row>
    <row r="75" ht="38" customHeight="1">
      <c r="D75" s="13" t="inlineStr">
        <is>
          <t>e.g. "Room held, no invites sent"</t>
        </is>
      </c>
      <c r="F75" s="13" t="inlineStr">
        <is>
          <t>e.g. "Release room hold after 15 min"</t>
        </is>
      </c>
    </row>
    <row r="76" ht="30" customHeight="1">
      <c r="A76" s="14" t="n">
        <v>1</v>
      </c>
      <c r="B76" s="32">
        <f>IF(B9="","",B9)</f>
        <v/>
      </c>
      <c r="C76" s="32">
        <f>IF(E9="","",E9)</f>
        <v/>
      </c>
      <c r="D76" s="33" t="n"/>
      <c r="E76" s="33" t="n"/>
      <c r="F76" s="33" t="n"/>
      <c r="G76" s="15" t="n"/>
      <c r="H76" s="33" t="n"/>
      <c r="I76" s="15" t="n"/>
      <c r="J76" s="15" t="n"/>
      <c r="Q76" s="18">
        <f>IF(OR(C76="Reversible",C76="Irreversible"),IF(OR(F76="",H76=""),1,0),0)</f>
        <v/>
      </c>
    </row>
    <row r="77" ht="30" customHeight="1">
      <c r="A77" s="14" t="n">
        <v>2</v>
      </c>
      <c r="B77" s="32">
        <f>IF(B10="","",B10)</f>
        <v/>
      </c>
      <c r="C77" s="32">
        <f>IF(E10="","",E10)</f>
        <v/>
      </c>
      <c r="D77" s="33" t="n"/>
      <c r="E77" s="33" t="n"/>
      <c r="F77" s="33" t="n"/>
      <c r="G77" s="15" t="n"/>
      <c r="H77" s="33" t="n"/>
      <c r="I77" s="15" t="n"/>
      <c r="J77" s="15" t="n"/>
      <c r="Q77" s="18">
        <f>IF(OR(C77="Reversible",C77="Irreversible"),IF(OR(F77="",H77=""),1,0),0)</f>
        <v/>
      </c>
    </row>
    <row r="78" ht="30" customHeight="1">
      <c r="A78" s="14" t="n">
        <v>3</v>
      </c>
      <c r="B78" s="32">
        <f>IF(B11="","",B11)</f>
        <v/>
      </c>
      <c r="C78" s="32">
        <f>IF(E11="","",E11)</f>
        <v/>
      </c>
      <c r="D78" s="33" t="n"/>
      <c r="E78" s="33" t="n"/>
      <c r="F78" s="33" t="n"/>
      <c r="G78" s="15" t="n"/>
      <c r="H78" s="33" t="n"/>
      <c r="I78" s="15" t="n"/>
      <c r="J78" s="15" t="n"/>
      <c r="Q78" s="18">
        <f>IF(OR(C78="Reversible",C78="Irreversible"),IF(OR(F78="",H78=""),1,0),0)</f>
        <v/>
      </c>
    </row>
    <row r="79" ht="30" customHeight="1">
      <c r="A79" s="14" t="n">
        <v>4</v>
      </c>
      <c r="B79" s="32">
        <f>IF(B12="","",B12)</f>
        <v/>
      </c>
      <c r="C79" s="32">
        <f>IF(E12="","",E12)</f>
        <v/>
      </c>
      <c r="D79" s="33" t="inlineStr">
        <is>
          <t>Room held, no invites sent</t>
        </is>
      </c>
      <c r="E79" s="33" t="inlineStr">
        <is>
          <t>Still booking…</t>
        </is>
      </c>
      <c r="F79" s="33" t="inlineStr">
        <is>
          <t>Release room hold after 15 min</t>
        </is>
      </c>
      <c r="G79" s="15" t="inlineStr">
        <is>
          <t>Automatic</t>
        </is>
      </c>
      <c r="H79" s="33" t="inlineStr">
        <is>
          <t>Platform team</t>
        </is>
      </c>
      <c r="I79" s="15" t="inlineStr">
        <is>
          <t>Yes</t>
        </is>
      </c>
      <c r="J79" s="15" t="inlineStr">
        <is>
          <t>Low</t>
        </is>
      </c>
      <c r="Q79" s="18">
        <f>IF(OR(C79="Reversible",C79="Irreversible"),IF(OR(F79="",H79=""),1,0),0)</f>
        <v/>
      </c>
    </row>
    <row r="80" ht="30" customHeight="1">
      <c r="A80" s="14" t="n">
        <v>5</v>
      </c>
      <c r="B80" s="32">
        <f>IF(B13="","",B13)</f>
        <v/>
      </c>
      <c r="C80" s="32">
        <f>IF(E13="","",E13)</f>
        <v/>
      </c>
      <c r="D80" s="33" t="inlineStr">
        <is>
          <t>Invites sent to some attendees</t>
        </is>
      </c>
      <c r="E80" s="33" t="inlineStr">
        <is>
          <t>Attendees see a partial invite</t>
        </is>
      </c>
      <c r="F80" s="33" t="inlineStr">
        <is>
          <t>Send a cancellation to recipients and notify the organiser</t>
        </is>
      </c>
      <c r="G80" s="15" t="inlineStr">
        <is>
          <t>Automatic</t>
        </is>
      </c>
      <c r="H80" s="33" t="inlineStr">
        <is>
          <t>Platform team</t>
        </is>
      </c>
      <c r="I80" s="15" t="inlineStr">
        <is>
          <t>No</t>
        </is>
      </c>
      <c r="J80" s="15" t="inlineStr">
        <is>
          <t>High</t>
        </is>
      </c>
      <c r="Q80" s="18">
        <f>IF(OR(C80="Reversible",C80="Irreversible"),IF(OR(F80="",H80=""),1,0),0)</f>
        <v/>
      </c>
    </row>
    <row r="81" ht="30" customHeight="1">
      <c r="A81" s="14" t="n">
        <v>6</v>
      </c>
      <c r="B81" s="32">
        <f>IF(B14="","",B14)</f>
        <v/>
      </c>
      <c r="C81" s="32">
        <f>IF(E14="","",E14)</f>
        <v/>
      </c>
      <c r="D81" s="33" t="n"/>
      <c r="E81" s="33" t="n"/>
      <c r="F81" s="33" t="n"/>
      <c r="G81" s="15" t="n"/>
      <c r="H81" s="33" t="n"/>
      <c r="I81" s="15" t="n"/>
      <c r="J81" s="15" t="n"/>
      <c r="Q81" s="18">
        <f>IF(OR(C81="Reversible",C81="Irreversible"),IF(OR(F81="",H81=""),1,0),0)</f>
        <v/>
      </c>
    </row>
    <row r="83">
      <c r="A83" s="19" t="inlineStr">
        <is>
          <t>Stop states with no clean-up plan</t>
        </is>
      </c>
      <c r="F83" s="20">
        <f>SUM(Q76:Q81)</f>
        <v/>
      </c>
      <c r="G83" s="4" t="inlineStr">
        <is>
          <t>A step with a side effect, and no clean-up action or no owner.</t>
        </is>
      </c>
    </row>
    <row r="86" ht="28" customHeight="1">
      <c r="A86" s="10" t="inlineStr">
        <is>
          <t>5 · Decision</t>
        </is>
      </c>
    </row>
    <row r="87" ht="18" customHeight="1">
      <c r="A87" s="11" t="inlineStr">
        <is>
          <t>Is the limit policy good enough to scale?</t>
        </is>
      </c>
    </row>
    <row r="89" ht="42" customHeight="1">
      <c r="A89" s="12" t="inlineStr">
        <is>
          <t>#</t>
        </is>
      </c>
      <c r="B89" s="12" t="inlineStr">
        <is>
          <t>Check</t>
        </is>
      </c>
      <c r="C89" s="12" t="inlineStr">
        <is>
          <t>Answer</t>
        </is>
      </c>
      <c r="D89" s="12" t="inlineStr">
        <is>
          <t>Points</t>
        </is>
      </c>
      <c r="E89" s="12" t="inlineStr">
        <is>
          <t>From your own sheet</t>
        </is>
      </c>
    </row>
    <row r="90" ht="38" customHeight="1">
      <c r="B90" s="13" t="inlineStr">
        <is>
          <t>★ marks a critical check. One No on a critical check is a Hold, whatever the score.</t>
        </is>
      </c>
      <c r="D90" s="13" t="inlineStr">
        <is>
          <t>Yes 2 · Partial 1 · No 0</t>
        </is>
      </c>
    </row>
    <row r="91" ht="34" customHeight="1">
      <c r="A91" s="34" t="inlineStr">
        <is>
          <t>01</t>
        </is>
      </c>
      <c r="B91" s="23" t="inlineStr">
        <is>
          <t>Every limit that can refuse the agent is listed, with its scope and owner.</t>
        </is>
      </c>
      <c r="C91" s="15" t="inlineStr">
        <is>
          <t>Yes</t>
        </is>
      </c>
      <c r="D91" s="14">
        <f>IF(C91="","",IF(C91="Yes",2,IF(C91="Partial",1,IF(C91="No",0,""))))</f>
        <v/>
      </c>
      <c r="R91" s="18" t="n">
        <v>0</v>
      </c>
      <c r="S91" s="18">
        <f>IF(AND(R91=1,C91="No"),1,0)</f>
        <v/>
      </c>
    </row>
    <row r="92" ht="34" customHeight="1">
      <c r="A92" s="34" t="inlineStr">
        <is>
          <t>02</t>
        </is>
      </c>
      <c r="B92" s="23" t="inlineStr">
        <is>
          <t>Retries back off with jitter and honour Retry-After.</t>
        </is>
      </c>
      <c r="C92" s="15" t="inlineStr">
        <is>
          <t>Yes</t>
        </is>
      </c>
      <c r="D92" s="14">
        <f>IF(C92="","",IF(C92="Yes",2,IF(C92="Partial",1,IF(C92="No",0,""))))</f>
        <v/>
      </c>
      <c r="R92" s="18" t="n">
        <v>0</v>
      </c>
      <c r="S92" s="18">
        <f>IF(AND(R92=1,C92="No"),1,0)</f>
        <v/>
      </c>
    </row>
    <row r="93" ht="34" customHeight="1">
      <c r="A93" s="35" t="inlineStr">
        <is>
          <t>★ 03</t>
        </is>
      </c>
      <c r="B93" s="23" t="inlineStr">
        <is>
          <t>Retries are capped per call and per task.</t>
        </is>
      </c>
      <c r="C93" s="15" t="inlineStr">
        <is>
          <t>Yes</t>
        </is>
      </c>
      <c r="D93" s="14">
        <f>IF(C93="","",IF(C93="Yes",2,IF(C93="Partial",1,IF(C93="No",0,""))))</f>
        <v/>
      </c>
      <c r="R93" s="18" t="n">
        <v>1</v>
      </c>
      <c r="S93" s="18">
        <f>IF(AND(R93=1,C93="No"),1,0)</f>
        <v/>
      </c>
    </row>
    <row r="94" ht="34" customHeight="1">
      <c r="A94" s="34" t="inlineStr">
        <is>
          <t>04</t>
        </is>
      </c>
      <c r="B94" s="23" t="inlineStr">
        <is>
          <t>Retries resume from a checkpoint instead of restarting the task.</t>
        </is>
      </c>
      <c r="C94" s="15" t="inlineStr">
        <is>
          <t>No</t>
        </is>
      </c>
      <c r="D94" s="14">
        <f>IF(C94="","",IF(C94="Yes",2,IF(C94="Partial",1,IF(C94="No",0,""))))</f>
        <v/>
      </c>
      <c r="R94" s="18" t="n">
        <v>0</v>
      </c>
      <c r="S94" s="18">
        <f>IF(AND(R94=1,C94="No"),1,0)</f>
        <v/>
      </c>
    </row>
    <row r="95" ht="34" customHeight="1">
      <c r="A95" s="35" t="inlineStr">
        <is>
          <t>★ 05</t>
        </is>
      </c>
      <c r="B95" s="23" t="inlineStr">
        <is>
          <t>The token budget belongs to the task, across all its attempts, not just to each call.</t>
        </is>
      </c>
      <c r="C95" s="15" t="inlineStr">
        <is>
          <t>Yes</t>
        </is>
      </c>
      <c r="D95" s="14">
        <f>IF(C95="","",IF(C95="Yes",2,IF(C95="Partial",1,IF(C95="No",0,""))))</f>
        <v/>
      </c>
      <c r="R95" s="18" t="n">
        <v>1</v>
      </c>
      <c r="S95" s="18">
        <f>IF(AND(R95=1,C95="No"),1,0)</f>
        <v/>
      </c>
    </row>
    <row r="96" ht="34" customHeight="1">
      <c r="A96" s="34" t="inlineStr">
        <is>
          <t>06</t>
        </is>
      </c>
      <c r="B96" s="23" t="inlineStr">
        <is>
          <t>A shared quota is partitioned or prioritised, so one busy workflow can't starve the others.</t>
        </is>
      </c>
      <c r="C96" s="15" t="inlineStr">
        <is>
          <t>Yes</t>
        </is>
      </c>
      <c r="D96" s="14">
        <f>IF(C96="","",IF(C96="Yes",2,IF(C96="Partial",1,IF(C96="No",0,""))))</f>
        <v/>
      </c>
      <c r="R96" s="18" t="n">
        <v>0</v>
      </c>
      <c r="S96" s="18">
        <f>IF(AND(R96=1,C96="No"),1,0)</f>
        <v/>
      </c>
    </row>
    <row r="97" ht="34" customHeight="1">
      <c r="A97" s="34" t="inlineStr">
        <is>
          <t>07</t>
        </is>
      </c>
      <c r="B97" s="23" t="inlineStr">
        <is>
          <t>New work stops (circuit breaker) when the refusal rate crosses a set threshold.</t>
        </is>
      </c>
      <c r="C97" s="15" t="inlineStr">
        <is>
          <t>Yes</t>
        </is>
      </c>
      <c r="D97" s="14">
        <f>IF(C97="","",IF(C97="Yes",2,IF(C97="Partial",1,IF(C97="No",0,""))))</f>
        <v/>
      </c>
      <c r="R97" s="18" t="n">
        <v>0</v>
      </c>
      <c r="S97" s="18">
        <f>IF(AND(R97=1,C97="No"),1,0)</f>
        <v/>
      </c>
    </row>
    <row r="98" ht="34" customHeight="1">
      <c r="A98" s="35" t="inlineStr">
        <is>
          <t>★ 08</t>
        </is>
      </c>
      <c r="B98" s="23" t="inlineStr">
        <is>
          <t>Every step with a side effect has a defined stop state, a clean-up action and an owner.</t>
        </is>
      </c>
      <c r="C98" s="15" t="inlineStr">
        <is>
          <t>Yes</t>
        </is>
      </c>
      <c r="D98" s="14">
        <f>IF(C98="","",IF(C98="Yes",2,IF(C98="Partial",1,IF(C98="No",0,""))))</f>
        <v/>
      </c>
      <c r="E98" s="24">
        <f>"Stop states with no clean-up plan: "&amp;F83</f>
        <v/>
      </c>
      <c r="R98" s="18" t="n">
        <v>1</v>
      </c>
      <c r="S98" s="18">
        <f>IF(AND(R98=1,C98="No"),1,0)</f>
        <v/>
      </c>
    </row>
    <row r="99" ht="34" customHeight="1">
      <c r="A99" s="35" t="inlineStr">
        <is>
          <t>★ 09</t>
        </is>
      </c>
      <c r="B99" s="23" t="inlineStr">
        <is>
          <t>Worst-case peak demand, with retries, fits within the quota.</t>
        </is>
      </c>
      <c r="C99" s="15" t="inlineStr">
        <is>
          <t>No</t>
        </is>
      </c>
      <c r="D99" s="14">
        <f>IF(C99="","",IF(C99="Yes",2,IF(C99="Partial",1,IF(C99="No",0,""))))</f>
        <v/>
      </c>
      <c r="E99" s="24">
        <f>D65</f>
        <v/>
      </c>
      <c r="R99" s="18" t="n">
        <v>1</v>
      </c>
      <c r="S99" s="18">
        <f>IF(AND(R99=1,C99="No"),1,0)</f>
        <v/>
      </c>
    </row>
    <row r="100" ht="34" customHeight="1">
      <c r="A100" s="34" t="inlineStr">
        <is>
          <t>10</t>
        </is>
      </c>
      <c r="B100" s="23" t="inlineStr">
        <is>
          <t>Budget exhaustion raises an alert that a named person owns.</t>
        </is>
      </c>
      <c r="C100" s="15" t="inlineStr">
        <is>
          <t>Yes</t>
        </is>
      </c>
      <c r="D100" s="14">
        <f>IF(C100="","",IF(C100="Yes",2,IF(C100="Partial",1,IF(C100="No",0,""))))</f>
        <v/>
      </c>
      <c r="R100" s="18" t="n">
        <v>0</v>
      </c>
      <c r="S100" s="18">
        <f>IF(AND(R100=1,C100="No"),1,0)</f>
        <v/>
      </c>
    </row>
    <row r="102">
      <c r="A102" s="19" t="inlineStr">
        <is>
          <t>Total</t>
        </is>
      </c>
      <c r="D102" s="36">
        <f>SUM(D91:D100)</f>
        <v/>
      </c>
      <c r="E102" s="4" t="inlineStr">
        <is>
          <t>Out of 20.</t>
        </is>
      </c>
      <c r="R102" s="18">
        <f>COUNTIF(C91:C100,"Yes")+COUNTIF(C91:C100,"Partial")+COUNTIF(C91:C100,"No")</f>
        <v/>
      </c>
    </row>
    <row r="103">
      <c r="A103" s="19" t="inlineStr">
        <is>
          <t>Critical checks answered No</t>
        </is>
      </c>
      <c r="D103" s="36">
        <f>SUM(S91:S100)</f>
        <v/>
      </c>
    </row>
    <row r="105" ht="34" customHeight="1">
      <c r="A105" s="19" t="inlineStr">
        <is>
          <t>Decision</t>
        </is>
      </c>
      <c r="C105" s="37">
        <f>IF(R102&lt;10,"Not scored yet",IF(D103&gt;0,"Hold",IF(D102&gt;=16,"Ready to scale","Fix first")))</f>
        <v/>
      </c>
    </row>
    <row r="106">
      <c r="C106" s="4">
        <f>IF(C105="Hold","Don't scale this workflow yet.",IF(C105="Fix first","Fix the checks answered No or Partial, then score it again.",IF(C105="Ready to scale","The limit policy holds at peak. Scale it.",IF(C105="Not scored yet","Answer all ten checks to get a decision.",""))))</f>
        <v/>
      </c>
    </row>
    <row r="108">
      <c r="A108" s="22" t="inlineStr">
        <is>
          <t>Your limit policy</t>
        </is>
      </c>
    </row>
    <row r="109">
      <c r="A109" s="4" t="inlineStr">
        <is>
          <t>The one-page artefact. Fill this in and take it to your team.</t>
        </is>
      </c>
    </row>
    <row r="110" ht="34" customHeight="1">
      <c r="A110" s="38" t="inlineStr">
        <is>
          <t>Per-task token budget</t>
        </is>
      </c>
      <c r="C110" s="33" t="inlineStr">
        <is>
          <t>120,000 tokens across all attempts</t>
        </is>
      </c>
      <c r="E110" s="24" t="inlineStr">
        <is>
          <t>Across every attempt, not per call.</t>
        </is>
      </c>
    </row>
    <row r="111" ht="34" customHeight="1">
      <c r="A111" s="38" t="inlineStr">
        <is>
          <t>Max retries</t>
        </is>
      </c>
      <c r="C111" s="33" t="inlineStr">
        <is>
          <t>2 per call, 3 per task</t>
        </is>
      </c>
      <c r="E111" s="24" t="inlineStr">
        <is>
          <t>Per call and per task.</t>
        </is>
      </c>
    </row>
    <row r="112" ht="34" customHeight="1">
      <c r="A112" s="38" t="inlineStr">
        <is>
          <t>Backoff</t>
        </is>
      </c>
      <c r="C112" s="33" t="inlineStr">
        <is>
          <t>Base 1s, max 30s, jitter Yes</t>
        </is>
      </c>
      <c r="E112" s="24" t="inlineStr">
        <is>
          <t>Base delay, max delay, jitter Yes/No.</t>
        </is>
      </c>
    </row>
    <row r="113" ht="34" customHeight="1">
      <c r="A113" s="38" t="inlineStr">
        <is>
          <t>Circuit-breaker threshold</t>
        </is>
      </c>
      <c r="C113" s="33" t="inlineStr">
        <is>
          <t>Stop new work above a 20% refusal rate over 60s</t>
        </is>
      </c>
      <c r="E113" s="24" t="inlineStr">
        <is>
          <t>The refusal rate at which new work stops.</t>
        </is>
      </c>
    </row>
    <row r="114" ht="34" customHeight="1">
      <c r="A114" s="38" t="inlineStr">
        <is>
          <t>Shed first under pressure</t>
        </is>
      </c>
      <c r="C114" s="33" t="inlineStr">
        <is>
          <t>Bulk re-scheduling, before single user requests</t>
        </is>
      </c>
      <c r="E114" s="24" t="inlineStr">
        <is>
          <t>Which work is refused first.</t>
        </is>
      </c>
    </row>
    <row r="115" ht="34" customHeight="1">
      <c r="A115" s="38" t="inlineStr">
        <is>
          <t>Degrade option</t>
        </is>
      </c>
      <c r="C115" s="33" t="inlineStr">
        <is>
          <t>Queue for later; no smaller model, the slot maths needs this one</t>
        </is>
      </c>
      <c r="E115" s="24" t="inlineStr">
        <is>
          <t>Smaller model, shorter context, or queue for later.</t>
        </is>
      </c>
    </row>
  </sheetData>
  <sheetProtection selectLockedCells="0" selectUnlockedCells="0" sheet="1" objects="0" insertRows="1" insertHyperlinks="1" autoFilter="1" scenarios="0" formatColumns="1" deleteColumns="1" insertColumns="1" pivotTables="1" deleteRows="1" formatCells="0" formatRows="1" sort="1"/>
  <mergeCells count="54">
    <mergeCell ref="A83:E83"/>
    <mergeCell ref="E45:H45"/>
    <mergeCell ref="A17:G17"/>
    <mergeCell ref="E61:H61"/>
    <mergeCell ref="A37:C37"/>
    <mergeCell ref="A46:C46"/>
    <mergeCell ref="E57:H57"/>
    <mergeCell ref="E54:H54"/>
    <mergeCell ref="A56:C56"/>
    <mergeCell ref="A55:C55"/>
    <mergeCell ref="A50:C50"/>
    <mergeCell ref="C105:E105"/>
    <mergeCell ref="A110:B110"/>
    <mergeCell ref="A57:C57"/>
    <mergeCell ref="D65:H65"/>
    <mergeCell ref="C113:D113"/>
    <mergeCell ref="E56:H56"/>
    <mergeCell ref="A47:C47"/>
    <mergeCell ref="E47:H47"/>
    <mergeCell ref="C112:D112"/>
    <mergeCell ref="A62:C62"/>
    <mergeCell ref="E62:H62"/>
    <mergeCell ref="C106:E106"/>
    <mergeCell ref="A38:C38"/>
    <mergeCell ref="A105:B105"/>
    <mergeCell ref="C114:D114"/>
    <mergeCell ref="A1:J1"/>
    <mergeCell ref="A63:C63"/>
    <mergeCell ref="A102:C102"/>
    <mergeCell ref="C115:D115"/>
    <mergeCell ref="A113:B113"/>
    <mergeCell ref="E51:H51"/>
    <mergeCell ref="A16:G16"/>
    <mergeCell ref="A67:H68"/>
    <mergeCell ref="C110:D110"/>
    <mergeCell ref="A48:C48"/>
    <mergeCell ref="A51:C51"/>
    <mergeCell ref="A60:C60"/>
    <mergeCell ref="E60:H60"/>
    <mergeCell ref="A109:E109"/>
    <mergeCell ref="A49:C49"/>
    <mergeCell ref="A18:G18"/>
    <mergeCell ref="A45:C45"/>
    <mergeCell ref="A103:C103"/>
    <mergeCell ref="A112:B112"/>
    <mergeCell ref="A61:C61"/>
    <mergeCell ref="A115:B115"/>
    <mergeCell ref="A114:B114"/>
    <mergeCell ref="A111:B111"/>
    <mergeCell ref="C111:D111"/>
    <mergeCell ref="A2:J2"/>
    <mergeCell ref="E49:H49"/>
    <mergeCell ref="A65:C65"/>
    <mergeCell ref="A54:C54"/>
  </mergeCells>
  <conditionalFormatting sqref="H18">
    <cfRule type="expression" priority="1" dxfId="0">
      <formula>H18&gt;0</formula>
    </cfRule>
  </conditionalFormatting>
  <conditionalFormatting sqref="D38">
    <cfRule type="expression" priority="2" dxfId="0">
      <formula>D38&gt;0</formula>
    </cfRule>
  </conditionalFormatting>
  <conditionalFormatting sqref="A65:H65">
    <cfRule type="expression" priority="3" dxfId="1">
      <formula>$D$65="Fits with headroom"</formula>
    </cfRule>
    <cfRule type="expression" priority="4" dxfId="2">
      <formula>$D$65="Tight: any spike tips it over"</formula>
    </cfRule>
    <cfRule type="expression" priority="5" dxfId="3">
      <formula>$D$65="Retries alone can exhaust the quota"</formula>
    </cfRule>
  </conditionalFormatting>
  <conditionalFormatting sqref="A76:J81">
    <cfRule type="expression" priority="6" dxfId="4">
      <formula>OR($C76="None",$C76="")</formula>
    </cfRule>
  </conditionalFormatting>
  <conditionalFormatting sqref="F83">
    <cfRule type="expression" priority="7" dxfId="0">
      <formula>F83&gt;0</formula>
    </cfRule>
  </conditionalFormatting>
  <conditionalFormatting sqref="D103">
    <cfRule type="expression" priority="8" dxfId="0">
      <formula>D103&gt;0</formula>
    </cfRule>
  </conditionalFormatting>
  <conditionalFormatting sqref="A105:E105">
    <cfRule type="expression" priority="9" dxfId="1">
      <formula>$C$105="Ready to scale"</formula>
    </cfRule>
    <cfRule type="expression" priority="10" dxfId="2">
      <formula>$C$105="Fix first"</formula>
    </cfRule>
    <cfRule type="expression" priority="11" dxfId="3">
      <formula>$C$105="Hold"</formula>
    </cfRule>
    <cfRule type="expression" priority="12" dxfId="5">
      <formula>$C$105="Not scored yet"</formula>
    </cfRule>
  </conditionalFormatting>
  <dataValidations count="13">
    <dataValidation sqref="C9:D14" showDropDown="0" showInputMessage="0" showErrorMessage="0" allowBlank="1" type="list">
      <formula1>"Yes,No"</formula1>
    </dataValidation>
    <dataValidation sqref="E9:E14" showDropDown="0" showInputMessage="0" showErrorMessage="0" allowBlank="1" type="list">
      <formula1>"None,Reversible,Irreversible"</formula1>
    </dataValidation>
    <dataValidation sqref="J9:K14" showDropDown="0" showInputMessage="0" showErrorMessage="0" allowBlank="1" type="list">
      <formula1>"Yes,No"</formula1>
    </dataValidation>
    <dataValidation sqref="C26:C35" showDropDown="0" showInputMessage="0" showErrorMessage="0" allowBlank="1" type="list">
      <formula1>"Per call,Per task,Per user,Per tenant,Shared across workflows"</formula1>
    </dataValidation>
    <dataValidation sqref="E26:E35" showDropDown="0" showInputMessage="0" showErrorMessage="0" allowBlank="1" type="list">
      <formula1>"tokens,requests,currency"</formula1>
    </dataValidation>
    <dataValidation sqref="F26:F35" showDropDown="0" showInputMessage="0" showErrorMessage="0" allowBlank="1" type="list">
      <formula1>"per minute,per hour,per day,per month,per request"</formula1>
    </dataValidation>
    <dataValidation sqref="I26:I35" showDropDown="0" showInputMessage="0" showErrorMessage="0" allowBlank="1" type="list">
      <formula1>"Retry immediately,Retry with backoff,Fail task,Queue,Degrade,Unknown"</formula1>
    </dataValidation>
    <dataValidation sqref="D47" showDropDown="0" showInputMessage="0" showErrorMessage="0" allowBlank="1" type="list">
      <formula1>"Restart task,Resume from last checkpoint,Retry the call only"</formula1>
    </dataValidation>
    <dataValidation sqref="D49" showDropDown="0" showInputMessage="0" showErrorMessage="0" allowBlank="1" type="list">
      <formula1>"Yes,No"</formula1>
    </dataValidation>
    <dataValidation sqref="G76:G81" showDropDown="0" showInputMessage="0" showErrorMessage="0" allowBlank="1" type="list">
      <formula1>"Automatic,Manual"</formula1>
    </dataValidation>
    <dataValidation sqref="I76:I81" showDropDown="0" showInputMessage="0" showErrorMessage="0" allowBlank="1" type="list">
      <formula1>"Yes,No"</formula1>
    </dataValidation>
    <dataValidation sqref="J76:J81" showDropDown="0" showInputMessage="0" showErrorMessage="0" allowBlank="1" type="list">
      <formula1>"Low,Medium,High"</formula1>
    </dataValidation>
    <dataValidation sqref="C91:C100" showDropDown="0" showInputMessage="0" showErrorMessage="0" allowBlank="1" type="list">
      <formula1>"Yes,Partial,No"</formula1>
    </dataValidation>
  </dataValidations>
  <pageMargins left="0.4" right="0.4" top="0.4" bottom="0.4"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2026-09-27T16:08:22Z</dcterms:created>
  <dcterms:modified xsi:type="dcterms:W3CDTF">2026-09-27T16:08:22Z</dcterms:modified>
</cp:coreProperties>
</file>